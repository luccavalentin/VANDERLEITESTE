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lucca\Downloads\"/>
    </mc:Choice>
  </mc:AlternateContent>
  <xr:revisionPtr revIDLastSave="0" documentId="13_ncr:1_{ECE70617-9B87-4301-9D6B-1D5010CE0431}" xr6:coauthVersionLast="47" xr6:coauthVersionMax="47" xr10:uidLastSave="{00000000-0000-0000-0000-000000000000}"/>
  <bookViews>
    <workbookView xWindow="-120" yWindow="-120" windowWidth="29040" windowHeight="15840" firstSheet="3" xr2:uid="{00000000-000D-0000-FFFF-FFFF00000000}"/>
  </bookViews>
  <sheets>
    <sheet name="FATURAMENTO" sheetId="11" r:id="rId1"/>
    <sheet name="LEADS" sheetId="8" r:id="rId2"/>
    <sheet name="DIMINUIÇÃO DE DESPESAS" sheetId="1" r:id="rId3"/>
    <sheet name="ESCRITORIO" sheetId="2" r:id="rId4"/>
    <sheet name="VEDD" sheetId="3" r:id="rId5"/>
    <sheet name="ESTOQUE DE GADO" sheetId="4" r:id="rId6"/>
    <sheet name="LOCAÇÃO" sheetId="6" r:id="rId7"/>
    <sheet name="PrOBLEMAS ANTIGOS" sheetId="5" r:id="rId8"/>
    <sheet name="IMOVEIS" sheetId="7" r:id="rId9"/>
    <sheet name="PERDIDOS " sheetId="9" r:id="rId10"/>
    <sheet name="EMPRESTIMOS SANTANDER" sheetId="10" r:id="rId11"/>
    <sheet name="Pendências" sheetId="12" r:id="rId12"/>
    <sheet name="Planilha13" sheetId="13" r:id="rId13"/>
  </sheets>
  <calcPr calcId="191029"/>
</workbook>
</file>

<file path=xl/calcChain.xml><?xml version="1.0" encoding="utf-8"?>
<calcChain xmlns="http://schemas.openxmlformats.org/spreadsheetml/2006/main">
  <c r="D16" i="7" l="1"/>
  <c r="A1" i="7"/>
  <c r="D38" i="2"/>
  <c r="K15" i="11"/>
  <c r="J15" i="11"/>
  <c r="I15" i="11"/>
  <c r="H15" i="11"/>
  <c r="G15" i="11"/>
  <c r="F15" i="11"/>
  <c r="E15" i="11"/>
  <c r="D15" i="11"/>
  <c r="C15" i="11"/>
  <c r="B15"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vandr</author>
  </authors>
  <commentList>
    <comment ref="C14" authorId="0" shapeId="0" xr:uid="{00000000-0006-0000-0000-000001000000}">
      <text>
        <r>
          <rPr>
            <b/>
            <sz val="9"/>
            <rFont val="Arial"/>
          </rPr>
          <t>vandr:</t>
        </r>
        <r>
          <rPr>
            <sz val="9"/>
            <rFont val="Arial"/>
          </rPr>
          <t xml:space="preserve">
</t>
        </r>
      </text>
    </comment>
  </commentList>
</comments>
</file>

<file path=xl/sharedStrings.xml><?xml version="1.0" encoding="utf-8"?>
<sst xmlns="http://schemas.openxmlformats.org/spreadsheetml/2006/main" count="489" uniqueCount="356">
  <si>
    <t>RECEBIMENTOS</t>
  </si>
  <si>
    <t>SET/2025</t>
  </si>
  <si>
    <t>OUT/2025</t>
  </si>
  <si>
    <t>NOV/2025</t>
  </si>
  <si>
    <t>DEZ/2025</t>
  </si>
  <si>
    <t>JAN/2026</t>
  </si>
  <si>
    <t>FEV/2026</t>
  </si>
  <si>
    <t>MAR/2026</t>
  </si>
  <si>
    <t>ABRIL/2026</t>
  </si>
  <si>
    <t>MAIO/2026</t>
  </si>
  <si>
    <t>JUNHO/2026</t>
  </si>
  <si>
    <t>PARTICULARES</t>
  </si>
  <si>
    <t>POUPANÇA</t>
  </si>
  <si>
    <t>ALUGUEL N.ODESSA</t>
  </si>
  <si>
    <t>DIVERSOS</t>
  </si>
  <si>
    <t>PRO LABORE</t>
  </si>
  <si>
    <t>RAFAEL</t>
  </si>
  <si>
    <t>GILMAR BOMBA DIES</t>
  </si>
  <si>
    <t>JARI</t>
  </si>
  <si>
    <t>ALUGUEL N.ODESSA 2</t>
  </si>
  <si>
    <t>1,000,00</t>
  </si>
  <si>
    <t>Aluguel Gáz + Cana Brava + Enxuto</t>
  </si>
  <si>
    <t>aluguel vizinho da mãe</t>
  </si>
  <si>
    <t>TOTAL......................:</t>
  </si>
  <si>
    <t>JANEIRO/2026</t>
  </si>
  <si>
    <t>FEVEREIRO /2026</t>
  </si>
  <si>
    <t>MARÇO/2026</t>
  </si>
  <si>
    <t>MAIO /2026</t>
  </si>
  <si>
    <t>JULHO /2026</t>
  </si>
  <si>
    <t>AGOSTO/2026</t>
  </si>
  <si>
    <t>SET/2026</t>
  </si>
  <si>
    <t>OUT/2026</t>
  </si>
  <si>
    <t>,,,</t>
  </si>
  <si>
    <t>Venda de Gado</t>
  </si>
  <si>
    <t>Acordo poupança</t>
  </si>
  <si>
    <t>ações escritório ant.</t>
  </si>
  <si>
    <t xml:space="preserve">comissões </t>
  </si>
  <si>
    <t>particulares</t>
  </si>
  <si>
    <t>Valor aproximado das poupanças</t>
  </si>
  <si>
    <t>Compra de bezerras mês 09.2024</t>
  </si>
  <si>
    <t>Anotações</t>
  </si>
  <si>
    <t>Intercambio: ações cíveis e conselho tutelar.</t>
  </si>
  <si>
    <t>2 Irmãos.</t>
  </si>
  <si>
    <t>Le</t>
  </si>
  <si>
    <t>Lorival</t>
  </si>
  <si>
    <t>1 salario</t>
  </si>
  <si>
    <t>Rafael</t>
  </si>
  <si>
    <t>pita bruna</t>
  </si>
  <si>
    <t>GILMAR</t>
  </si>
  <si>
    <t>Du Frasson</t>
  </si>
  <si>
    <t>DESCRIÇÃO</t>
  </si>
  <si>
    <t xml:space="preserve">DATA INICIO </t>
  </si>
  <si>
    <t xml:space="preserve">DATA FIM </t>
  </si>
  <si>
    <t>VALOR DO CONTRATO</t>
  </si>
  <si>
    <t>TAREFA</t>
  </si>
  <si>
    <t>VIA CAMPOS</t>
  </si>
  <si>
    <t>INTERCAMBIO</t>
  </si>
  <si>
    <t>SILVIO FELIX</t>
  </si>
  <si>
    <t>IND. DU FRASSON</t>
  </si>
  <si>
    <t xml:space="preserve">EDUARDO - ALFA </t>
  </si>
  <si>
    <t>ACORDO CORONEL</t>
  </si>
  <si>
    <t>EMPRESA SUL</t>
  </si>
  <si>
    <t>DANIEL BERTANHA</t>
  </si>
  <si>
    <t>MOVEIS CASSIMIRO</t>
  </si>
  <si>
    <t>CONTRATOS BANCOS</t>
  </si>
  <si>
    <t>BIDS, LEILOÕES ESC.</t>
  </si>
  <si>
    <t xml:space="preserve">LICITAÇÕES </t>
  </si>
  <si>
    <t>MAQTIVA</t>
  </si>
  <si>
    <t>VENDA TERRENO PITA</t>
  </si>
  <si>
    <t>EMPRESA DE AMERICANA</t>
  </si>
  <si>
    <t>DATA</t>
  </si>
  <si>
    <t>quitar bradesco</t>
  </si>
  <si>
    <t>AS CONTAS SERÃO PAGAS POR CALENDÁRIO</t>
  </si>
  <si>
    <t>quitar sicred</t>
  </si>
  <si>
    <t>quitar sicob</t>
  </si>
  <si>
    <t>tirar Patrícia e dimunir repasse</t>
  </si>
  <si>
    <t>POR DOIS ANOS A VEDD VAI PAGAR O CUSTO COM MÃO DE OBRA DAS FAZENDAS</t>
  </si>
  <si>
    <t xml:space="preserve">PLANEJAR A DIMINUÇÃO DOS ARRENDAMENTOS </t>
  </si>
  <si>
    <t>VALOR</t>
  </si>
  <si>
    <t xml:space="preserve">DESTINO </t>
  </si>
  <si>
    <t xml:space="preserve">                 REGULARIZAR INSS</t>
  </si>
  <si>
    <t>STRADA</t>
  </si>
  <si>
    <t>22 BEZERRAS</t>
  </si>
  <si>
    <t>SOJA</t>
  </si>
  <si>
    <t>TANQUE VERM</t>
  </si>
  <si>
    <t>6,5 BEZERRAS TAL</t>
  </si>
  <si>
    <t>INcluir na prorrogação o que sobrou do Bradesco. Plano de quitação para 8 meses.</t>
  </si>
  <si>
    <t>TANQUE BRANCO</t>
  </si>
  <si>
    <t>4 BEZERRAS</t>
  </si>
  <si>
    <t>FIESTA</t>
  </si>
  <si>
    <t>8,1 BEZERRAS TAL</t>
  </si>
  <si>
    <t>Redução Juros Juliane.</t>
  </si>
  <si>
    <t>ESTIVA GERBI</t>
  </si>
  <si>
    <t>AÇÕES DE POUP.</t>
  </si>
  <si>
    <t>ACORDOS ESCR.</t>
  </si>
  <si>
    <t>profissionalizar as operações</t>
  </si>
  <si>
    <t>(costume service)</t>
  </si>
  <si>
    <t>SIMENTAL</t>
  </si>
  <si>
    <t xml:space="preserve">3 BEZERRAS </t>
  </si>
  <si>
    <t>VACAS DE LEITE</t>
  </si>
  <si>
    <t xml:space="preserve">8,1 BEZERRA </t>
  </si>
  <si>
    <t>BALANÇA GADO</t>
  </si>
  <si>
    <t>Redução arrendamento Nova Odessa (Eduardo: preciso formalizar algum documento para reduzir o custo do arrendamento.</t>
  </si>
  <si>
    <t>95 BEZERRAS OU 1140 (peso) @ = 347.000,00</t>
  </si>
  <si>
    <t>Este dinheiro entre em agosto de 2026</t>
  </si>
  <si>
    <t>objetivo: dimunir pagamento de juros, evitar indevidamento.</t>
  </si>
  <si>
    <t>QUITAR BRADESCO JÁ ELIMINA 4000,00 MENSAIS</t>
  </si>
  <si>
    <t>COMPRA:</t>
  </si>
  <si>
    <r>
      <rPr>
        <b/>
        <sz val="11"/>
        <color theme="1"/>
        <rFont val="Calibri"/>
        <charset val="134"/>
        <scheme val="minor"/>
      </rPr>
      <t>Tal</t>
    </r>
    <r>
      <rPr>
        <sz val="11"/>
        <color theme="1"/>
        <rFont val="Calibri"/>
        <charset val="134"/>
        <scheme val="minor"/>
      </rPr>
      <t>: 10.000,00 Estiva + 35.000,00 Strada + poupanças</t>
    </r>
  </si>
  <si>
    <r>
      <rPr>
        <sz val="11"/>
        <color theme="1"/>
        <rFont val="Calibri"/>
        <charset val="134"/>
        <scheme val="minor"/>
      </rPr>
      <t xml:space="preserve">20.09.2025 - </t>
    </r>
    <r>
      <rPr>
        <b/>
        <sz val="11"/>
        <color theme="1"/>
        <rFont val="Calibri"/>
        <charset val="134"/>
        <scheme val="minor"/>
      </rPr>
      <t>12</t>
    </r>
    <r>
      <rPr>
        <sz val="11"/>
        <color theme="1"/>
        <rFont val="Calibri"/>
        <charset val="134"/>
        <scheme val="minor"/>
      </rPr>
      <t xml:space="preserve"> MIGUEL  21500,00</t>
    </r>
  </si>
  <si>
    <r>
      <rPr>
        <sz val="11"/>
        <color theme="1"/>
        <rFont val="Calibri"/>
        <charset val="134"/>
        <scheme val="minor"/>
      </rPr>
      <t xml:space="preserve">20.07.2025 - </t>
    </r>
    <r>
      <rPr>
        <b/>
        <sz val="11"/>
        <color theme="1"/>
        <rFont val="Calibri"/>
        <charset val="134"/>
        <scheme val="minor"/>
      </rPr>
      <t>17</t>
    </r>
    <r>
      <rPr>
        <sz val="11"/>
        <color theme="1"/>
        <rFont val="Calibri"/>
        <charset val="134"/>
        <scheme val="minor"/>
      </rPr>
      <t xml:space="preserve"> TAL         30.600,00  </t>
    </r>
  </si>
  <si>
    <t>CONTRATO</t>
  </si>
  <si>
    <t>NÚMERO DO PROCESSO</t>
  </si>
  <si>
    <t xml:space="preserve">SENTENÇA </t>
  </si>
  <si>
    <t>VALOR ESTIMADO</t>
  </si>
  <si>
    <t>PREVISÃO DE PAGAMENTO</t>
  </si>
  <si>
    <t>DIVERSOS E MENSALIDADES</t>
  </si>
  <si>
    <t>AQUALAX - MAFRE</t>
  </si>
  <si>
    <t>SIM</t>
  </si>
  <si>
    <t>dez/2025</t>
  </si>
  <si>
    <t>EDERSON</t>
  </si>
  <si>
    <t>MULHER DO GENERAL</t>
  </si>
  <si>
    <t xml:space="preserve">DAMIANA </t>
  </si>
  <si>
    <t xml:space="preserve">CAKE </t>
  </si>
  <si>
    <t>MASTER</t>
  </si>
  <si>
    <t>julho/ 2026</t>
  </si>
  <si>
    <t>OTM</t>
  </si>
  <si>
    <t>SUCUMB. RODOTEC</t>
  </si>
  <si>
    <t>LUZIA</t>
  </si>
  <si>
    <t>julho 2026</t>
  </si>
  <si>
    <t>RENATA ZACHARIAS</t>
  </si>
  <si>
    <t>ARI INDIC. ANTONIO</t>
  </si>
  <si>
    <t>ALEXANDRE WENZEL</t>
  </si>
  <si>
    <t>retorno aos clientes</t>
  </si>
  <si>
    <t>JUNINHO JAGUARIUNA</t>
  </si>
  <si>
    <t xml:space="preserve">acredirar nas causas tipo: Eduardo Frasson. </t>
  </si>
  <si>
    <t>MIRO</t>
  </si>
  <si>
    <t xml:space="preserve">BAÚ </t>
  </si>
  <si>
    <t>ROBERTO MANARA</t>
  </si>
  <si>
    <t>BACOCHINA 2 ações</t>
  </si>
  <si>
    <t xml:space="preserve">DELARIVA J T </t>
  </si>
  <si>
    <t>SCAMA</t>
  </si>
  <si>
    <t>MARCO BUCK</t>
  </si>
  <si>
    <t>SIMONETTI</t>
  </si>
  <si>
    <t>EMILIANA</t>
  </si>
  <si>
    <t>GENIL</t>
  </si>
  <si>
    <t>ROSEILDO</t>
  </si>
  <si>
    <t xml:space="preserve">NAZARE </t>
  </si>
  <si>
    <t>VANTAME/DIMAS</t>
  </si>
  <si>
    <t>POUPANÇAS</t>
  </si>
  <si>
    <t>CAPELA</t>
  </si>
  <si>
    <t>NARCISO NICOLA</t>
  </si>
  <si>
    <t>REINALDO FUND. CASA. RPV</t>
  </si>
  <si>
    <t>DEZ/2028</t>
  </si>
  <si>
    <t>CUMP. SENTENÇA H.STEFANI</t>
  </si>
  <si>
    <t>julho/2026</t>
  </si>
  <si>
    <t>RUTH LEUSA</t>
  </si>
  <si>
    <t>EUNICE SICOB</t>
  </si>
  <si>
    <t xml:space="preserve">RECEBIMENTOS </t>
  </si>
  <si>
    <t xml:space="preserve">VALORES </t>
  </si>
  <si>
    <t>CAPTAÇÃO DE NEGOCIOS</t>
  </si>
  <si>
    <t>CUSTEIO DE OLEO DIESEL</t>
  </si>
  <si>
    <t>PENDENCIAS</t>
  </si>
  <si>
    <t>FIXO</t>
  </si>
  <si>
    <t>CTT ANDREA</t>
  </si>
  <si>
    <t>CTT MORUNGADA (CERCA/ESTRADA, LASCAS)</t>
  </si>
  <si>
    <t xml:space="preserve">PNEUS </t>
  </si>
  <si>
    <t>TARA DO 7-90</t>
  </si>
  <si>
    <t>SEGURO</t>
  </si>
  <si>
    <t>SERVIÇOS DE MUNCK</t>
  </si>
  <si>
    <t>TANQUE DE FIBRA</t>
  </si>
  <si>
    <t>PARAFUSO CUBO</t>
  </si>
  <si>
    <t xml:space="preserve">BETINHA </t>
  </si>
  <si>
    <t>FELIPE GERATO</t>
  </si>
  <si>
    <t>MADEIRA - PRANCHAS</t>
  </si>
  <si>
    <t>DOCUM. STRADA</t>
  </si>
  <si>
    <t xml:space="preserve">JUNIOR </t>
  </si>
  <si>
    <t>MADEIRA RIO VERDE</t>
  </si>
  <si>
    <t>rastreador</t>
  </si>
  <si>
    <t>MARCOS SERVCOOL</t>
  </si>
  <si>
    <t>JOELMA FELIX</t>
  </si>
  <si>
    <t>PNEUS VELHOS</t>
  </si>
  <si>
    <t>PITA // PREFEITURA</t>
  </si>
  <si>
    <t>MARCOS SERVCOLL</t>
  </si>
  <si>
    <t>LICITAÇÕES</t>
  </si>
  <si>
    <t>FERNANDO ENTULHOS</t>
  </si>
  <si>
    <t>BUSCAR CORRETOR DE SERVIÇOS</t>
  </si>
  <si>
    <t>EDSON - ALFA</t>
  </si>
  <si>
    <t xml:space="preserve">Leonardo </t>
  </si>
  <si>
    <t>Márcio é importante para o transporte de gado, ajudar na coordenação, abrir oportunidades. Não consigo fazer tudo.</t>
  </si>
  <si>
    <t>Pita - Moita</t>
  </si>
  <si>
    <t>Marcio: Rio Verde, arrumar a guarda do caminhão, vender madeira,</t>
  </si>
  <si>
    <t xml:space="preserve">GILMAR </t>
  </si>
  <si>
    <t>GAGA</t>
  </si>
  <si>
    <t>indicação Du</t>
  </si>
  <si>
    <t>pita prefeitura</t>
  </si>
  <si>
    <t>ENTRADA EM DEZEMBRO</t>
  </si>
  <si>
    <t>VENDAS DE LOTES</t>
  </si>
  <si>
    <t xml:space="preserve">27.09.2025 - MT . 185 FEMEA 24-36. NÃO SE SABE O TOTAL DE ENXERTADA. CONFIRMADA SÓ 28. // 44 BEZERROS </t>
  </si>
  <si>
    <t>Ligar para dono do gado da fazenda de Morungaba. Lote gado Branco.</t>
  </si>
  <si>
    <t>APARTAR OS MACHOS PARA O TAL</t>
  </si>
  <si>
    <t>DEVOLVER A EGUA DO ZE ANTONIO</t>
  </si>
  <si>
    <t>CARBURCRO</t>
  </si>
  <si>
    <t>TROCA DE MACHO POR FEMEA</t>
  </si>
  <si>
    <t>U S GADO VINDO DO MT</t>
  </si>
  <si>
    <t>CONTAR O GADO, POR ERA E TIRAR SOMENTE AS QUE FOREM PEQUENAS (MANDAR PARA O JOÃO)</t>
  </si>
  <si>
    <t>FAZER RELATORIO DAS FAZENDAS</t>
  </si>
  <si>
    <t>EM NOVEMBRO TIRAR AS ENXERTADAS E DEIXAR COM OS TOUROS. AS VAZIAS VÃO PARA ENGORDA, JUNTO COM AS VAZIAS DO JOÃO</t>
  </si>
  <si>
    <t>INICIAR COM O JUNINHO O PROCESSO DE REPOSIÇÃO DE GADO</t>
  </si>
  <si>
    <t>GERAR CRÉDITO DE ICMS DIESEL</t>
  </si>
  <si>
    <t>Conseguir crédito com o Belo e BB.</t>
  </si>
  <si>
    <t xml:space="preserve">trocar contrato de arrendamento por venda e compra </t>
  </si>
  <si>
    <t>decidir manejo do gado com o Ricardo. Raiva, contagem, etc.</t>
  </si>
  <si>
    <t>640 bezerras estimativa da Fortaleza</t>
  </si>
  <si>
    <t>anotar acertos do Silas</t>
  </si>
  <si>
    <t>cadastro minerva de Morungaba</t>
  </si>
  <si>
    <t>De qualquer jeito o Rio Verde não interessa mais. Pequeno, sem capim. Custo alto. Pegar vizinhos em Morungaba. Vou entregar até novembro, Regra básica: tenho que ver meu lado. Preciso de uma última chuva.</t>
  </si>
  <si>
    <t>IMOVEL</t>
  </si>
  <si>
    <t xml:space="preserve">PROBLEMA </t>
  </si>
  <si>
    <t>NOVA ODESSA - FRENTE</t>
  </si>
  <si>
    <t>REGULARIZAR PROJETO COM DINHEIRO DO ALUGUEL</t>
  </si>
  <si>
    <t>COLINAS - BANHEIRO</t>
  </si>
  <si>
    <t xml:space="preserve">ALUGAR </t>
  </si>
  <si>
    <t>SITIO - VILIANE</t>
  </si>
  <si>
    <t>LEVAR OBJETOS</t>
  </si>
  <si>
    <t>VENDER</t>
  </si>
  <si>
    <t>ver com a Gi porque parou a locação. Colinas</t>
  </si>
  <si>
    <t>PROCESSO TRABALHISTA ELIANA</t>
  </si>
  <si>
    <t>PERDA DE PRAZO. CUMPRIMENTO DE PUBLICAÇÕES. ATOS DO PROCESSO. NÃO PERDER AUDIÊNCIA.</t>
  </si>
  <si>
    <t>RETORNO - REPASSE DE CLIENTES</t>
  </si>
  <si>
    <t xml:space="preserve">PAGAR A DIFERENÇA PARA O CARLINHO.VER COM O JOÃO A QUANTIDADE DE BEZERRO </t>
  </si>
  <si>
    <r>
      <rPr>
        <b/>
        <sz val="11"/>
        <color rgb="FFFF0000"/>
        <rFont val="Calibri"/>
        <charset val="134"/>
        <scheme val="minor"/>
      </rPr>
      <t xml:space="preserve">ELIANA MATO GROSSO. </t>
    </r>
    <r>
      <rPr>
        <sz val="11"/>
        <color theme="1"/>
        <rFont val="Calibri"/>
        <charset val="134"/>
        <scheme val="minor"/>
      </rPr>
      <t xml:space="preserve">ATUALIZAR CONTAS DA ELIANA. QUANDO FOR FAZER O ACERTO DE CONTAS, MOSTRAR QUE NO PRIMEIRO ANO FORAM COMPRADAS BEZERRAS, DEMOROU DOIS ANOS PARA CRIAR. NÃO ACHA O GADO E MOSTRAR O NUMERO DE BZERROS QUE ESTÃO SENDO TRATADOS COM SILAGEM. NÃO TINHA CERCA NA DIVISA COM A SOJA. TIVE QUE REPARAR A CERCA A DIVISA INTEIRA ATÉ O EUCALIPTO, ARAME, LASCA, MÃO DE OBRA, OLEO DIESEL, ACERTO COM LAMINA PARA LIMPAR O MATO EM VOLTA DAS CERCAS, ESTRADAS DE ACESSO (MORRO DO CHAPEU, LIMPEZA DAS ESTRADAS ATÉ CHEGAR NA CACHOEIRA PELA LATERAL, LIMPEZA DE PASTO NA FURNA PARA VER SE TEM CAPIM. LIMPA UM LADO, SUJA O OUTRO. LIMPEZA COM CORRENTÃO NO PASTO AO LADO DO MORRO DO CHAPEU, LIMPEZA DE SUJEIRA AO LADO DAS CERCAS PARA REFORMA, LIMPAR CAMINHO DE ACESSO ATÉ A DIVISA COM A TERRA DA PENSÃO SECA, LIMPEZA DO CURRAL QUE CAIU O TELHADO. MADEIRAS PODRES. REFAZER O CURRAL COM MADEIRAS PODRES, FAZER NOVO MANGUEIRO NO PASTO DE CIMA. JOGAR CALCARIO E SEMENTEAR PASTOS DA SEDE PARA MATERNIDADE (ÉPOCA DO GIL). ARRUMAR TESOURAS DO BARRACÃO PARA NÃO CAIR. TROCAR BOMBA DO POÇO, REFAZER PARTE DO ENCANAMENTO DA SEDE QUE ESTAVA PODRE. PINTURA E REFORMA DAS CASAS ( TROCA DE TELHAS);. NÃO TEM PASTO. PRECISA DE OLEO DIESEL TODO MÊS, DOIS TRATORES GRANDES, DOIS FUNCIONÁRIOS. QUANDO NÃO MAIS. REFORMEI OS VEICULOS DA FAZENDA ( F-4000, MANUTENÇÃO BICOS, BOMBA INJETORA). FOI GRADEADO A DIVISA COM OS SEM TERRA, PARA EVITAR FOGO 3 ANOS. HOJE A FAZENDA TEM ESTRADAS, CERCAS. </t>
    </r>
  </si>
  <si>
    <t>JOÃO: ESTOU ESTUDANDO O QUE VOU FAZER. NÃO POSSO TROCAR DE FAZENDA SEM TER CERTEZA DE COMO É LÁ. O QUE TEM QUE FAZER DE CERCA, INVESTIMENTO, ETC. SE O DONO DA TERRA NÃO AJUDAR NO COMEÇO NADA FUNCIONA. UMA COISA EM COMUM AS DUAS TEM: PRECISA DE TRATO ALÉM DO CAPIM, MOER MILHO, REPARO, LIMPEZA DE PASTO. TUDO ISSO CUSTA E PRECISA DE GENTE. AQUI NA FORTALEZA, ALÉM DO ALTO CUSTO, OS DONOS AO INVES DE BAIXAR O VALOR QUEREM REAJUSTE, FICA NA PRESSÃO QUE PRECISA DE MAIS DINHEIRO, ETC. ISSO, DÁ MEDO. HOJE NÃO CONSIGO TOCAR OS DOIS LUGARES SE NÃO TIVER UMA AJUDA. ESTOU TENDO QUE TIRAR DINHEIRO. SEM SOMBRA DE DUVIDA, PRECISO ENTREGAR O RIO VERDE. SE NÃO CONSEGUIREM REDUZIR O CUSTO, UMA OPÇÃO SERÁ ENTREGAR A FAZENDA.</t>
  </si>
  <si>
    <t>BICHO</t>
  </si>
  <si>
    <t>HERANÇA DO PAI E MÃE.</t>
  </si>
  <si>
    <t xml:space="preserve">CIDADE </t>
  </si>
  <si>
    <t>VIGÊNCIA</t>
  </si>
  <si>
    <t>REAJUSTE DE LOCAÇÃO</t>
  </si>
  <si>
    <t xml:space="preserve">INSCRIÇÃO MUNICIPAL </t>
  </si>
  <si>
    <t>VALOR VENAL</t>
  </si>
  <si>
    <t>DOCUMENTAÇÃO</t>
  </si>
  <si>
    <t xml:space="preserve">TITULARIDADE AGUA </t>
  </si>
  <si>
    <t>TITULARIDADE ENERGIA</t>
  </si>
  <si>
    <t>CONTAS EM ABERTO INQULINO</t>
  </si>
  <si>
    <t>REINALDO KUNTZ BUSCH, 54, JARDIM FLORENÇA</t>
  </si>
  <si>
    <t>LIMEIRA</t>
  </si>
  <si>
    <t>-</t>
  </si>
  <si>
    <t>2005.006.000/7/8</t>
  </si>
  <si>
    <t>OK</t>
  </si>
  <si>
    <t>PROPRIO</t>
  </si>
  <si>
    <t>PALCHOAL MARMO, 1460</t>
  </si>
  <si>
    <t>03.08.2020 / 03.08.2023</t>
  </si>
  <si>
    <t>quadra 0748, unidade 001</t>
  </si>
  <si>
    <t>INQUILINO</t>
  </si>
  <si>
    <t>ALFERES FRANCO, 641</t>
  </si>
  <si>
    <t>quadra 34, unidade 11</t>
  </si>
  <si>
    <t>ALCIDES CARLOS GRAF, 89, GRAMINHA</t>
  </si>
  <si>
    <t>15.03.2021/09.03.2024</t>
  </si>
  <si>
    <t>PENDENTE</t>
  </si>
  <si>
    <t>JARDIM PIRATININGA 91</t>
  </si>
  <si>
    <t>01.09.2023 / 01.06.2025</t>
  </si>
  <si>
    <t>0519-003-000</t>
  </si>
  <si>
    <t>JARDIM PIRATININGA 101</t>
  </si>
  <si>
    <t>05.10.2023 / 15.10.2026</t>
  </si>
  <si>
    <t>0519-004-000</t>
  </si>
  <si>
    <t xml:space="preserve">JARDIM SÃO PAULO - GAZ </t>
  </si>
  <si>
    <t>05.02.2020 / 05.02.2023</t>
  </si>
  <si>
    <t>0191-001-000</t>
  </si>
  <si>
    <t xml:space="preserve"> INQUILINO</t>
  </si>
  <si>
    <t>MORAR MAIS - AVENIDA ACADEMICO LUIZ ANTONIO AZEVEDO BITENCOURT, 200</t>
  </si>
  <si>
    <t>30.03.2023 / 30.03.2025</t>
  </si>
  <si>
    <t>JARDIM SÃO PAULO - GARAGEM</t>
  </si>
  <si>
    <t>15.10.2023 / 15.10.2025</t>
  </si>
  <si>
    <t xml:space="preserve">INQUILINO </t>
  </si>
  <si>
    <t>COLINAS DO ENGENHO 1, 39</t>
  </si>
  <si>
    <t>01.02.2023/ 31.01.2026</t>
  </si>
  <si>
    <t>1.200,00 (1) - 1.800,00 (2)</t>
  </si>
  <si>
    <t>5268-039-000</t>
  </si>
  <si>
    <t>COLINAS DO ENGENHO 2, 40</t>
  </si>
  <si>
    <t>5268-040-000</t>
  </si>
  <si>
    <t>COLINAS DO ENGENHO 3, 41</t>
  </si>
  <si>
    <t>5268-041-000</t>
  </si>
  <si>
    <t>JARDIM BANDEIRANTES</t>
  </si>
  <si>
    <t>RALPHO ELISIO MONTEIRO DOS SANTOS, 751</t>
  </si>
  <si>
    <t>IRACEMAPOLIS</t>
  </si>
  <si>
    <t>01.01.039.8511</t>
  </si>
  <si>
    <t>CORONEL JOSE LEVI 602</t>
  </si>
  <si>
    <t>CORONEL JOSE LEVI 610</t>
  </si>
  <si>
    <t>03.06.2022/03.06.2023</t>
  </si>
  <si>
    <t>010101511150</t>
  </si>
  <si>
    <t>RUA DOM PEDRO I, 130 A</t>
  </si>
  <si>
    <t>01.01.007.1254</t>
  </si>
  <si>
    <t>RUA DOM PEDRO I, 130 B</t>
  </si>
  <si>
    <t>10.01.2023 / 09.01.2025</t>
  </si>
  <si>
    <t>RUA DOM PEDRO II, 130 C</t>
  </si>
  <si>
    <t>10.03.2023 / 20.03.2025</t>
  </si>
  <si>
    <t>TERRENO ESTIVA GERBI</t>
  </si>
  <si>
    <t>ESTIVA</t>
  </si>
  <si>
    <t>LOTE  1 ENIO</t>
  </si>
  <si>
    <t>LOTE 2 ENIO</t>
  </si>
  <si>
    <t>SITIO 2 ALQUEIRES</t>
  </si>
  <si>
    <t>JACIARA</t>
  </si>
  <si>
    <t>JACIARA - MT</t>
  </si>
  <si>
    <t>BERENICE</t>
  </si>
  <si>
    <t>NOVA ODESSA</t>
  </si>
  <si>
    <t>falta um terreno no colinas</t>
  </si>
  <si>
    <t xml:space="preserve">JOVAIR </t>
  </si>
  <si>
    <t>I</t>
  </si>
  <si>
    <t>BULLS</t>
  </si>
  <si>
    <t>JULIANO</t>
  </si>
  <si>
    <t>consorcio santander</t>
  </si>
  <si>
    <t>DESPESAS</t>
  </si>
  <si>
    <t>RECEITA</t>
  </si>
  <si>
    <t xml:space="preserve">RECEBÍVEIS </t>
  </si>
  <si>
    <t>SALDO SANTANDER</t>
  </si>
  <si>
    <t>VENDA GADO 81.000,00</t>
  </si>
  <si>
    <t>CARTÃO SICRED</t>
  </si>
  <si>
    <t>COTAS CONS.  30000,00</t>
  </si>
  <si>
    <t>ARRENDAMENTO MÊS DE AGOSTO</t>
  </si>
  <si>
    <t>BARDINI  65.000,00</t>
  </si>
  <si>
    <t>TAL</t>
  </si>
  <si>
    <t>GTA MT PARA SÃO PAULO</t>
  </si>
  <si>
    <t>CERCA MORUNGADA</t>
  </si>
  <si>
    <t>FRETES MT SP</t>
  </si>
  <si>
    <t>ELIANA</t>
  </si>
  <si>
    <t>AVALIAÇÃO</t>
  </si>
  <si>
    <t>QUADRICICLO</t>
  </si>
  <si>
    <t xml:space="preserve">PARCELA DO LEILAO </t>
  </si>
  <si>
    <t>PRANCHA MT TRATOR</t>
  </si>
  <si>
    <t>DÉBITOS SANTANDER</t>
  </si>
  <si>
    <t>COBRIR EMPRESTIMO BRADESCO 8.9.2025</t>
  </si>
  <si>
    <t>cobrir despesas dia 11 de setembro de 2025</t>
  </si>
  <si>
    <t>pagamento anual sicred  1/5</t>
  </si>
  <si>
    <t>12 NOVILHAS MIGUEL</t>
  </si>
  <si>
    <t>ENTRADA SICRED</t>
  </si>
  <si>
    <t>ligar socia da Eliana Aritana</t>
  </si>
  <si>
    <t>Magda Cosmopolis</t>
  </si>
  <si>
    <t xml:space="preserve">TEMPO DISPERDISADO </t>
  </si>
  <si>
    <t xml:space="preserve">Felipe Gerato, </t>
  </si>
  <si>
    <t>Daniel Padron,</t>
  </si>
  <si>
    <r>
      <rPr>
        <sz val="11"/>
        <color theme="1"/>
        <rFont val="Calibri"/>
        <charset val="134"/>
        <scheme val="minor"/>
      </rPr>
      <t xml:space="preserve">1. </t>
    </r>
    <r>
      <rPr>
        <b/>
        <sz val="11"/>
        <color theme="1"/>
        <rFont val="Calibri"/>
        <charset val="134"/>
        <scheme val="minor"/>
      </rPr>
      <t>Eliminar o que está drenando sua energia</t>
    </r>
  </si>
  <si>
    <t>Agendamento Edilaine - reunião do Hotel,</t>
  </si>
  <si>
    <t>Custeio, repactuação, diminuição do valor do arrendamento, fazer o controle.</t>
  </si>
  <si>
    <t>Pita</t>
  </si>
  <si>
    <t>Luis CArlos BErgamo</t>
  </si>
  <si>
    <r>
      <rPr>
        <sz val="11"/>
        <color theme="1"/>
        <rFont val="Calibri"/>
        <charset val="134"/>
        <scheme val="minor"/>
      </rPr>
      <t xml:space="preserve">2. </t>
    </r>
    <r>
      <rPr>
        <b/>
        <sz val="11"/>
        <color theme="1"/>
        <rFont val="Calibri"/>
        <charset val="134"/>
        <scheme val="minor"/>
      </rPr>
      <t>Separar assuntos que não está em seu alcançe</t>
    </r>
  </si>
  <si>
    <t xml:space="preserve">Pendencia Carla Jundiai </t>
  </si>
  <si>
    <t xml:space="preserve">problemas dos outros, </t>
  </si>
  <si>
    <t>Agendar Berbel - Descalvado</t>
  </si>
  <si>
    <r>
      <rPr>
        <sz val="11"/>
        <color theme="1"/>
        <rFont val="Calibri"/>
        <charset val="134"/>
        <scheme val="minor"/>
      </rPr>
      <t xml:space="preserve">3. </t>
    </r>
    <r>
      <rPr>
        <b/>
        <sz val="11"/>
        <color theme="1"/>
        <rFont val="Calibri"/>
        <charset val="134"/>
        <scheme val="minor"/>
      </rPr>
      <t>Saber dizer não ao que não importa</t>
    </r>
  </si>
  <si>
    <t>Paulo Zanqueta. Empresas Não financeiras. Bid. Complience</t>
  </si>
  <si>
    <r>
      <rPr>
        <sz val="11"/>
        <color theme="1"/>
        <rFont val="Calibri"/>
        <charset val="134"/>
        <scheme val="minor"/>
      </rPr>
      <t>4.</t>
    </r>
    <r>
      <rPr>
        <b/>
        <sz val="11"/>
        <color theme="1"/>
        <rFont val="Calibri"/>
        <charset val="134"/>
        <scheme val="minor"/>
      </rPr>
      <t xml:space="preserve"> Tudo parece importante</t>
    </r>
  </si>
  <si>
    <t>Grande parte dos nossos problemas estão em querer controlar o que está fora do nosso alcançe.</t>
  </si>
  <si>
    <t>SAIDA</t>
  </si>
  <si>
    <t/>
  </si>
  <si>
    <t>ENTRADA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</si>
</sst>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7" formatCode="&quot;R$&quot;\ #,##0.00;\-&quot;R$&quot;\ #,##0.00"/>
    <numFmt numFmtId="44" formatCode="_-&quot;R$&quot;\ * #,##0.00_-;\-&quot;R$&quot;\ * #,##0.00_-;_-&quot;R$&quot;\ * &quot;-&quot;??_-;_-@_-"/>
    <numFmt numFmtId="164" formatCode="&quot;R$&quot;\ #,##0.00;[Red]&quot;R$&quot;\ #,##0.00"/>
    <numFmt numFmtId="165" formatCode="&quot;R$&quot;\ #,##0.00_);[Red]\(&quot;R$&quot;\ #,###.00\)"/>
    <numFmt numFmtId="166" formatCode="&quot;R$&quot;#,##0.00;[Red]\-&quot;R$&quot;#,##0.00"/>
  </numFmts>
  <fonts count="20">
    <font>
      <sz val="11"/>
      <color theme="1"/>
      <name val="Calibri"/>
      <charset val="134"/>
      <scheme val="minor"/>
    </font>
    <font>
      <strike/>
      <sz val="11"/>
      <color theme="1"/>
      <name val="Calibri"/>
      <charset val="134"/>
      <scheme val="minor"/>
    </font>
    <font>
      <b/>
      <sz val="11"/>
      <color theme="1"/>
      <name val="Calibri"/>
      <charset val="134"/>
      <scheme val="minor"/>
    </font>
    <font>
      <b/>
      <sz val="11"/>
      <color rgb="FFFF0000"/>
      <name val="Calibri"/>
      <charset val="134"/>
      <scheme val="minor"/>
    </font>
    <font>
      <sz val="11"/>
      <name val="Calibri"/>
      <charset val="134"/>
      <scheme val="minor"/>
    </font>
    <font>
      <sz val="11"/>
      <color rgb="FFFF0000"/>
      <name val="Calibri"/>
      <charset val="134"/>
      <scheme val="minor"/>
    </font>
    <font>
      <strike/>
      <u/>
      <sz val="11"/>
      <color theme="1"/>
      <name val="Calibri"/>
      <charset val="134"/>
      <scheme val="minor"/>
    </font>
    <font>
      <strike/>
      <sz val="11"/>
      <color rgb="FFFF0000"/>
      <name val="Calibri"/>
      <charset val="134"/>
      <scheme val="minor"/>
    </font>
    <font>
      <i/>
      <u/>
      <sz val="11"/>
      <color theme="1"/>
      <name val="Calibri"/>
      <charset val="134"/>
      <scheme val="minor"/>
    </font>
    <font>
      <b/>
      <strike/>
      <sz val="11"/>
      <color rgb="FFFF0000"/>
      <name val="Calibri"/>
      <charset val="134"/>
      <scheme val="minor"/>
    </font>
    <font>
      <i/>
      <strike/>
      <sz val="11"/>
      <color theme="1"/>
      <name val="Calibri"/>
      <charset val="134"/>
      <scheme val="minor"/>
    </font>
    <font>
      <i/>
      <sz val="11"/>
      <color theme="1"/>
      <name val="Calibri"/>
      <charset val="134"/>
      <scheme val="minor"/>
    </font>
    <font>
      <b/>
      <i/>
      <sz val="16"/>
      <color rgb="FFFF0000"/>
      <name val="Calibri"/>
      <charset val="134"/>
      <scheme val="minor"/>
    </font>
    <font>
      <sz val="16"/>
      <color rgb="FFC00000"/>
      <name val="Calibri"/>
      <charset val="134"/>
      <scheme val="minor"/>
    </font>
    <font>
      <sz val="14"/>
      <color rgb="FFC00000"/>
      <name val="Calibri"/>
      <charset val="134"/>
      <scheme val="minor"/>
    </font>
    <font>
      <b/>
      <sz val="18"/>
      <color theme="1"/>
      <name val="Calibri"/>
      <charset val="134"/>
      <scheme val="minor"/>
    </font>
    <font>
      <b/>
      <sz val="12"/>
      <color theme="1"/>
      <name val="Calibri"/>
      <charset val="134"/>
      <scheme val="minor"/>
    </font>
    <font>
      <b/>
      <sz val="9"/>
      <name val="Arial"/>
    </font>
    <font>
      <sz val="9"/>
      <name val="Arial"/>
    </font>
    <font>
      <sz val="11"/>
      <color theme="1"/>
      <name val="Calibri"/>
      <charset val="134"/>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s>
  <cellStyleXfs count="2">
    <xf numFmtId="0" fontId="0" fillId="0" borderId="0"/>
    <xf numFmtId="44" fontId="19" fillId="0" borderId="0" applyFont="0" applyFill="0" applyBorder="0" applyAlignment="0" applyProtection="0"/>
  </cellStyleXfs>
  <cellXfs count="63">
    <xf numFmtId="0" fontId="0" fillId="0" borderId="0" xfId="0"/>
    <xf numFmtId="0" fontId="1" fillId="0" borderId="0" xfId="0" applyFont="1"/>
    <xf numFmtId="0" fontId="2" fillId="0" borderId="0" xfId="0" applyFont="1"/>
    <xf numFmtId="0" fontId="3" fillId="0" borderId="0" xfId="0" applyFont="1"/>
    <xf numFmtId="0" fontId="2" fillId="0" borderId="1" xfId="0" applyFont="1" applyBorder="1" applyAlignment="1">
      <alignment horizontal="center"/>
    </xf>
    <xf numFmtId="0" fontId="2" fillId="0" borderId="2" xfId="0" applyFont="1" applyBorder="1" applyAlignment="1">
      <alignment horizontal="center"/>
    </xf>
    <xf numFmtId="0" fontId="0" fillId="0" borderId="1" xfId="0" applyBorder="1"/>
    <xf numFmtId="44" fontId="0" fillId="0" borderId="2" xfId="1" applyFont="1" applyBorder="1"/>
    <xf numFmtId="44" fontId="0" fillId="0" borderId="2" xfId="1" applyFont="1" applyFill="1" applyBorder="1"/>
    <xf numFmtId="7" fontId="0" fillId="0" borderId="1" xfId="0" applyNumberFormat="1" applyBorder="1"/>
    <xf numFmtId="164" fontId="0" fillId="0" borderId="1" xfId="0" applyNumberFormat="1" applyBorder="1"/>
    <xf numFmtId="165" fontId="0" fillId="0" borderId="1" xfId="0" applyNumberFormat="1" applyBorder="1"/>
    <xf numFmtId="0" fontId="2" fillId="0" borderId="1" xfId="0" applyFont="1" applyBorder="1" applyAlignment="1">
      <alignment horizontal="center" wrapText="1"/>
    </xf>
    <xf numFmtId="0" fontId="0" fillId="0" borderId="1" xfId="0" applyBorder="1" applyAlignment="1">
      <alignment horizontal="center"/>
    </xf>
    <xf numFmtId="9" fontId="0" fillId="0" borderId="1" xfId="0" applyNumberFormat="1" applyBorder="1" applyAlignment="1">
      <alignment horizontal="center"/>
    </xf>
    <xf numFmtId="4" fontId="0" fillId="0" borderId="1" xfId="0" applyNumberFormat="1" applyBorder="1" applyAlignment="1">
      <alignment horizontal="center"/>
    </xf>
    <xf numFmtId="3" fontId="4" fillId="0" borderId="1" xfId="0" applyNumberFormat="1" applyFont="1" applyBorder="1" applyAlignment="1">
      <alignment horizontal="center"/>
    </xf>
    <xf numFmtId="0" fontId="5" fillId="0" borderId="1" xfId="0" applyFont="1" applyBorder="1" applyAlignment="1">
      <alignment horizontal="center"/>
    </xf>
    <xf numFmtId="3" fontId="0" fillId="0" borderId="1" xfId="0" applyNumberFormat="1" applyBorder="1" applyAlignment="1">
      <alignment horizontal="center"/>
    </xf>
    <xf numFmtId="4" fontId="5" fillId="0" borderId="1" xfId="0" applyNumberFormat="1" applyFont="1" applyBorder="1" applyAlignment="1">
      <alignment horizontal="center"/>
    </xf>
    <xf numFmtId="0" fontId="5" fillId="0" borderId="0" xfId="0" applyFont="1"/>
    <xf numFmtId="0" fontId="5" fillId="0" borderId="1" xfId="0" applyFont="1" applyBorder="1"/>
    <xf numFmtId="0" fontId="1" fillId="0" borderId="1" xfId="0" applyFont="1" applyBorder="1"/>
    <xf numFmtId="0" fontId="6" fillId="0" borderId="0" xfId="0" applyFont="1"/>
    <xf numFmtId="0" fontId="1" fillId="0" borderId="1" xfId="0" applyFont="1" applyBorder="1" applyAlignment="1">
      <alignment horizontal="center"/>
    </xf>
    <xf numFmtId="2" fontId="1" fillId="0" borderId="1" xfId="0" applyNumberFormat="1" applyFont="1" applyBorder="1" applyAlignment="1">
      <alignment horizontal="center"/>
    </xf>
    <xf numFmtId="0" fontId="7" fillId="0" borderId="1" xfId="0" applyFont="1" applyBorder="1"/>
    <xf numFmtId="2" fontId="0" fillId="0" borderId="1" xfId="0" applyNumberFormat="1" applyBorder="1" applyAlignment="1">
      <alignment horizontal="center"/>
    </xf>
    <xf numFmtId="4" fontId="0" fillId="0" borderId="0" xfId="0" applyNumberFormat="1"/>
    <xf numFmtId="0" fontId="5" fillId="0" borderId="0" xfId="0" applyFont="1" applyAlignment="1">
      <alignment horizontal="center"/>
    </xf>
    <xf numFmtId="4" fontId="5" fillId="0" borderId="0" xfId="0" applyNumberFormat="1" applyFont="1" applyAlignment="1">
      <alignment horizontal="center"/>
    </xf>
    <xf numFmtId="0" fontId="2" fillId="0" borderId="0" xfId="0" applyFont="1" applyAlignment="1">
      <alignment horizontal="center"/>
    </xf>
    <xf numFmtId="0" fontId="8" fillId="0" borderId="1" xfId="0" applyFont="1" applyBorder="1"/>
    <xf numFmtId="7" fontId="0" fillId="0" borderId="0" xfId="0" applyNumberFormat="1"/>
    <xf numFmtId="17" fontId="0" fillId="0" borderId="1" xfId="0" applyNumberFormat="1" applyBorder="1"/>
    <xf numFmtId="17" fontId="1" fillId="0" borderId="1" xfId="0" applyNumberFormat="1" applyFont="1" applyBorder="1"/>
    <xf numFmtId="17" fontId="7" fillId="0" borderId="1" xfId="0" applyNumberFormat="1" applyFont="1" applyBorder="1"/>
    <xf numFmtId="0" fontId="9" fillId="0" borderId="0" xfId="0" applyFont="1"/>
    <xf numFmtId="0" fontId="3" fillId="0" borderId="3" xfId="0" applyFont="1" applyBorder="1" applyAlignment="1">
      <alignment horizontal="center"/>
    </xf>
    <xf numFmtId="44" fontId="5" fillId="0" borderId="1" xfId="1" applyFont="1" applyBorder="1"/>
    <xf numFmtId="0" fontId="10" fillId="0" borderId="1" xfId="0" applyFont="1" applyBorder="1"/>
    <xf numFmtId="44" fontId="10" fillId="0" borderId="1" xfId="1" applyFont="1" applyBorder="1"/>
    <xf numFmtId="0" fontId="11" fillId="0" borderId="1" xfId="0" applyFont="1" applyBorder="1"/>
    <xf numFmtId="0" fontId="12" fillId="0" borderId="0" xfId="0" applyFont="1"/>
    <xf numFmtId="44" fontId="0" fillId="0" borderId="1" xfId="1" applyFont="1" applyBorder="1"/>
    <xf numFmtId="0" fontId="13" fillId="0" borderId="0" xfId="0" applyFont="1"/>
    <xf numFmtId="0" fontId="14" fillId="0" borderId="0" xfId="0" applyFont="1"/>
    <xf numFmtId="0" fontId="7" fillId="0" borderId="0" xfId="0" applyFont="1"/>
    <xf numFmtId="0" fontId="0" fillId="0" borderId="0" xfId="0" applyAlignment="1">
      <alignment horizontal="left"/>
    </xf>
    <xf numFmtId="0" fontId="15" fillId="0" borderId="0" xfId="0" applyFont="1"/>
    <xf numFmtId="49" fontId="16" fillId="0" borderId="1" xfId="0" applyNumberFormat="1" applyFont="1" applyBorder="1" applyAlignment="1">
      <alignment horizontal="center"/>
    </xf>
    <xf numFmtId="0" fontId="2" fillId="0" borderId="1" xfId="0" applyFont="1" applyBorder="1" applyAlignment="1">
      <alignment horizontal="left"/>
    </xf>
    <xf numFmtId="165" fontId="0" fillId="0" borderId="1" xfId="0" applyNumberFormat="1" applyBorder="1" applyAlignment="1">
      <alignment horizontal="center"/>
    </xf>
    <xf numFmtId="165" fontId="0" fillId="0" borderId="0" xfId="0" applyNumberFormat="1" applyAlignment="1">
      <alignment horizontal="center"/>
    </xf>
    <xf numFmtId="0" fontId="2" fillId="0" borderId="1" xfId="0" applyFont="1" applyBorder="1"/>
    <xf numFmtId="4" fontId="3" fillId="0" borderId="1" xfId="0" applyNumberFormat="1" applyFont="1" applyBorder="1"/>
    <xf numFmtId="166" fontId="2" fillId="0" borderId="0" xfId="0" applyNumberFormat="1" applyFont="1"/>
    <xf numFmtId="165" fontId="2" fillId="0" borderId="0" xfId="0" applyNumberFormat="1" applyFont="1"/>
    <xf numFmtId="7" fontId="7" fillId="0" borderId="0" xfId="0" applyNumberFormat="1" applyFont="1"/>
    <xf numFmtId="4" fontId="5" fillId="0" borderId="0" xfId="0" applyNumberFormat="1" applyFont="1"/>
    <xf numFmtId="0" fontId="0" fillId="0" borderId="1" xfId="0" quotePrefix="1" applyBorder="1" applyAlignment="1">
      <alignment horizontal="center"/>
    </xf>
    <xf numFmtId="0" fontId="2" fillId="0" borderId="0" xfId="0" applyFont="1" applyFill="1" applyBorder="1" applyAlignment="1">
      <alignment horizontal="center"/>
    </xf>
    <xf numFmtId="0" fontId="0" fillId="0" borderId="0" xfId="0" quotePrefix="1"/>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47"/>
  <sheetViews>
    <sheetView tabSelected="1" workbookViewId="0">
      <selection activeCell="A27" sqref="A27"/>
    </sheetView>
  </sheetViews>
  <sheetFormatPr defaultColWidth="8.85546875" defaultRowHeight="15"/>
  <cols>
    <col min="1" max="1" width="30.42578125" customWidth="1"/>
    <col min="2" max="2" width="15.7109375" customWidth="1"/>
    <col min="3" max="3" width="16.7109375" customWidth="1"/>
    <col min="4" max="4" width="20.140625" customWidth="1"/>
    <col min="5" max="5" width="14.42578125" customWidth="1"/>
    <col min="6" max="6" width="14.28515625" customWidth="1"/>
    <col min="7" max="7" width="14.85546875" customWidth="1"/>
    <col min="8" max="8" width="14.28515625" customWidth="1"/>
    <col min="9" max="9" width="14.5703125" customWidth="1"/>
    <col min="10" max="10" width="14.85546875" customWidth="1"/>
    <col min="11" max="11" width="14.42578125" customWidth="1"/>
  </cols>
  <sheetData>
    <row r="1" spans="1:11" ht="23.25">
      <c r="A1" s="49" t="s">
        <v>0</v>
      </c>
    </row>
    <row r="2" spans="1:11">
      <c r="A2" t="s">
        <v>355</v>
      </c>
    </row>
    <row r="3" spans="1:11" ht="15.75">
      <c r="A3" s="6"/>
      <c r="B3" s="50" t="s">
        <v>1</v>
      </c>
      <c r="C3" s="50" t="s">
        <v>2</v>
      </c>
      <c r="D3" s="50" t="s">
        <v>3</v>
      </c>
      <c r="E3" s="50" t="s">
        <v>4</v>
      </c>
      <c r="F3" s="50" t="s">
        <v>5</v>
      </c>
      <c r="G3" s="50" t="s">
        <v>6</v>
      </c>
      <c r="H3" s="50" t="s">
        <v>7</v>
      </c>
      <c r="I3" s="50" t="s">
        <v>8</v>
      </c>
      <c r="J3" s="50" t="s">
        <v>9</v>
      </c>
      <c r="K3" s="50" t="s">
        <v>10</v>
      </c>
    </row>
    <row r="4" spans="1:11">
      <c r="A4" s="51" t="s">
        <v>11</v>
      </c>
      <c r="B4" s="52"/>
      <c r="C4" s="52"/>
      <c r="D4" s="52"/>
      <c r="E4" s="52"/>
      <c r="F4" s="52"/>
      <c r="G4" s="52"/>
      <c r="H4" s="52"/>
      <c r="I4" s="52"/>
      <c r="J4" s="52"/>
      <c r="K4" s="52"/>
    </row>
    <row r="5" spans="1:11">
      <c r="A5" s="51" t="s">
        <v>12</v>
      </c>
      <c r="B5" s="52"/>
      <c r="C5" s="52"/>
      <c r="D5" s="52"/>
      <c r="E5" s="52"/>
      <c r="F5" s="52"/>
      <c r="G5" s="52"/>
      <c r="H5" s="52"/>
      <c r="I5" s="52"/>
      <c r="J5" s="52"/>
      <c r="K5" s="52"/>
    </row>
    <row r="6" spans="1:11">
      <c r="A6" s="51" t="s">
        <v>13</v>
      </c>
      <c r="B6" s="52">
        <v>650</v>
      </c>
      <c r="C6" s="52">
        <v>650</v>
      </c>
      <c r="D6" s="52">
        <v>650</v>
      </c>
      <c r="E6" s="52">
        <v>650</v>
      </c>
      <c r="F6" s="52">
        <v>650</v>
      </c>
      <c r="G6" s="52">
        <v>650</v>
      </c>
      <c r="H6" s="52">
        <v>650</v>
      </c>
      <c r="I6" s="52">
        <v>650</v>
      </c>
      <c r="J6" s="52">
        <v>650</v>
      </c>
      <c r="K6" s="52">
        <v>650</v>
      </c>
    </row>
    <row r="7" spans="1:11">
      <c r="A7" s="51" t="s">
        <v>14</v>
      </c>
      <c r="B7" s="52">
        <v>2500</v>
      </c>
      <c r="C7" s="52">
        <v>2500</v>
      </c>
      <c r="D7" s="52">
        <v>2500</v>
      </c>
      <c r="E7" s="52">
        <v>2500</v>
      </c>
      <c r="F7" s="52">
        <v>2500</v>
      </c>
      <c r="G7" s="52">
        <v>2500</v>
      </c>
      <c r="H7" s="52">
        <v>2500</v>
      </c>
      <c r="I7" s="52">
        <v>2500</v>
      </c>
      <c r="J7" s="52">
        <v>2500</v>
      </c>
      <c r="K7" s="52">
        <v>2500</v>
      </c>
    </row>
    <row r="8" spans="1:11">
      <c r="A8" s="51" t="s">
        <v>15</v>
      </c>
      <c r="B8" s="52">
        <v>15000</v>
      </c>
      <c r="C8" s="52">
        <v>15000</v>
      </c>
      <c r="D8" s="52">
        <v>15000</v>
      </c>
      <c r="E8" s="52">
        <v>15000</v>
      </c>
      <c r="F8" s="52">
        <v>15000</v>
      </c>
      <c r="G8" s="52">
        <v>15000</v>
      </c>
      <c r="H8" s="52">
        <v>15000</v>
      </c>
      <c r="I8" s="52">
        <v>15000</v>
      </c>
      <c r="J8" s="52">
        <v>15000</v>
      </c>
      <c r="K8" s="52">
        <v>15000</v>
      </c>
    </row>
    <row r="9" spans="1:11" s="48" customFormat="1">
      <c r="A9" s="51" t="s">
        <v>16</v>
      </c>
      <c r="B9" s="52">
        <v>4333</v>
      </c>
      <c r="C9" s="52">
        <v>4333</v>
      </c>
      <c r="D9" s="52">
        <v>4333</v>
      </c>
      <c r="E9" s="52">
        <v>4333</v>
      </c>
      <c r="F9" s="52">
        <v>4333</v>
      </c>
      <c r="G9" s="52">
        <v>4333</v>
      </c>
      <c r="H9" s="52">
        <v>4333</v>
      </c>
      <c r="I9" s="52">
        <v>4333</v>
      </c>
      <c r="J9" s="52">
        <v>4333</v>
      </c>
      <c r="K9" s="52">
        <v>4333</v>
      </c>
    </row>
    <row r="10" spans="1:11">
      <c r="A10" s="51" t="s">
        <v>17</v>
      </c>
      <c r="B10" s="52">
        <v>1000</v>
      </c>
      <c r="C10" s="52">
        <v>1000</v>
      </c>
      <c r="D10" s="52">
        <v>1000</v>
      </c>
      <c r="E10" s="52">
        <v>1000</v>
      </c>
      <c r="F10" s="52">
        <v>1000</v>
      </c>
      <c r="G10" s="52">
        <v>1000</v>
      </c>
      <c r="H10" s="52">
        <v>1000</v>
      </c>
      <c r="I10" s="52">
        <v>1000</v>
      </c>
      <c r="J10" s="52">
        <v>1000</v>
      </c>
      <c r="K10" s="52">
        <v>1000</v>
      </c>
    </row>
    <row r="11" spans="1:11">
      <c r="A11" s="51" t="s">
        <v>18</v>
      </c>
      <c r="B11" s="52">
        <v>1300</v>
      </c>
      <c r="C11" s="52">
        <v>1300</v>
      </c>
      <c r="D11" s="52">
        <v>1300</v>
      </c>
      <c r="E11" s="52">
        <v>1300</v>
      </c>
      <c r="F11" s="52">
        <v>1300</v>
      </c>
      <c r="G11" s="52">
        <v>1300</v>
      </c>
      <c r="H11" s="52">
        <v>1300</v>
      </c>
      <c r="I11" s="52">
        <v>1300</v>
      </c>
      <c r="J11" s="52">
        <v>1300</v>
      </c>
      <c r="K11" s="52">
        <v>1300</v>
      </c>
    </row>
    <row r="12" spans="1:11">
      <c r="A12" s="51" t="s">
        <v>19</v>
      </c>
      <c r="B12" s="52">
        <v>1000</v>
      </c>
      <c r="C12" s="52" t="s">
        <v>20</v>
      </c>
      <c r="D12" s="52" t="s">
        <v>20</v>
      </c>
      <c r="E12" s="52">
        <v>1000</v>
      </c>
      <c r="F12" s="52">
        <v>1000</v>
      </c>
      <c r="G12" s="52">
        <v>1000</v>
      </c>
      <c r="H12" s="52">
        <v>1000</v>
      </c>
      <c r="I12" s="52">
        <v>1000</v>
      </c>
      <c r="J12" s="52">
        <v>1000</v>
      </c>
      <c r="K12" s="52">
        <v>1000</v>
      </c>
    </row>
    <row r="13" spans="1:11">
      <c r="A13" s="4" t="s">
        <v>21</v>
      </c>
      <c r="B13" s="52">
        <v>6800</v>
      </c>
      <c r="C13" s="52">
        <v>6800</v>
      </c>
      <c r="D13" s="52">
        <v>6800</v>
      </c>
      <c r="E13" s="52">
        <v>6800</v>
      </c>
      <c r="F13" s="52">
        <v>6800</v>
      </c>
      <c r="G13" s="52">
        <v>6800</v>
      </c>
      <c r="H13" s="52">
        <v>6800</v>
      </c>
      <c r="I13" s="52">
        <v>6800</v>
      </c>
      <c r="J13" s="52">
        <v>6800</v>
      </c>
      <c r="K13" s="52">
        <v>6800</v>
      </c>
    </row>
    <row r="14" spans="1:11">
      <c r="A14" s="51" t="s">
        <v>22</v>
      </c>
      <c r="B14" s="53">
        <v>850</v>
      </c>
      <c r="C14" s="52">
        <v>850</v>
      </c>
      <c r="D14" s="52">
        <v>850</v>
      </c>
      <c r="E14" s="52">
        <v>850</v>
      </c>
      <c r="F14" s="52">
        <v>850</v>
      </c>
      <c r="G14" s="52">
        <v>850</v>
      </c>
      <c r="H14" s="52">
        <v>850</v>
      </c>
      <c r="I14" s="52">
        <v>850</v>
      </c>
      <c r="J14" s="52">
        <v>850</v>
      </c>
      <c r="K14" s="52">
        <v>850</v>
      </c>
    </row>
    <row r="15" spans="1:11">
      <c r="A15" s="4" t="s">
        <v>23</v>
      </c>
      <c r="B15" s="52">
        <f>SUM(B6:B14)</f>
        <v>33433</v>
      </c>
      <c r="C15" s="52">
        <f t="shared" ref="C15:K15" si="0">SUM(C6:C14)</f>
        <v>32433</v>
      </c>
      <c r="D15" s="52">
        <f t="shared" si="0"/>
        <v>32433</v>
      </c>
      <c r="E15" s="52">
        <f t="shared" si="0"/>
        <v>33433</v>
      </c>
      <c r="F15" s="52">
        <f t="shared" si="0"/>
        <v>33433</v>
      </c>
      <c r="G15" s="52">
        <f t="shared" si="0"/>
        <v>33433</v>
      </c>
      <c r="H15" s="52">
        <f t="shared" si="0"/>
        <v>33433</v>
      </c>
      <c r="I15" s="52">
        <f t="shared" si="0"/>
        <v>33433</v>
      </c>
      <c r="J15" s="52">
        <f t="shared" si="0"/>
        <v>33433</v>
      </c>
      <c r="K15" s="52">
        <f t="shared" si="0"/>
        <v>33433</v>
      </c>
    </row>
    <row r="16" spans="1:11">
      <c r="A16" s="31"/>
    </row>
    <row r="18" spans="1:16">
      <c r="A18" s="61" t="s">
        <v>353</v>
      </c>
    </row>
    <row r="19" spans="1:16">
      <c r="A19" s="54"/>
      <c r="B19" s="4" t="s">
        <v>24</v>
      </c>
      <c r="C19" s="4" t="s">
        <v>25</v>
      </c>
      <c r="D19" s="4" t="s">
        <v>26</v>
      </c>
      <c r="E19" s="4" t="s">
        <v>8</v>
      </c>
      <c r="F19" s="4" t="s">
        <v>27</v>
      </c>
      <c r="G19" s="4" t="s">
        <v>10</v>
      </c>
      <c r="H19" s="4" t="s">
        <v>28</v>
      </c>
      <c r="I19" s="4" t="s">
        <v>29</v>
      </c>
      <c r="J19" s="4" t="s">
        <v>30</v>
      </c>
      <c r="K19" s="4" t="s">
        <v>31</v>
      </c>
      <c r="L19" t="s">
        <v>32</v>
      </c>
    </row>
    <row r="20" spans="1:16">
      <c r="A20" s="54" t="s">
        <v>33</v>
      </c>
      <c r="B20" s="54"/>
      <c r="C20" s="54"/>
      <c r="D20" s="54"/>
      <c r="E20" s="54"/>
      <c r="F20" s="54"/>
      <c r="G20" s="54"/>
      <c r="H20" s="54"/>
      <c r="I20" s="54"/>
      <c r="J20" s="54"/>
      <c r="K20" s="54"/>
      <c r="P20" s="62" t="s">
        <v>354</v>
      </c>
    </row>
    <row r="21" spans="1:16">
      <c r="A21" s="54" t="s">
        <v>34</v>
      </c>
      <c r="B21" s="54"/>
      <c r="C21" s="54"/>
      <c r="D21" s="54"/>
      <c r="E21" s="54"/>
      <c r="F21" s="54"/>
      <c r="G21" s="55">
        <v>125000</v>
      </c>
      <c r="H21" s="54"/>
      <c r="I21" s="55">
        <v>347000</v>
      </c>
      <c r="J21" s="54"/>
      <c r="K21" s="54"/>
    </row>
    <row r="22" spans="1:16">
      <c r="A22" s="54" t="s">
        <v>35</v>
      </c>
      <c r="B22" s="6"/>
      <c r="C22" s="6"/>
      <c r="D22" s="6"/>
      <c r="E22" s="6"/>
      <c r="F22" s="6"/>
      <c r="G22" s="6"/>
      <c r="H22" s="6"/>
      <c r="I22" s="6"/>
      <c r="J22" s="6"/>
      <c r="K22" s="6"/>
    </row>
    <row r="23" spans="1:16">
      <c r="A23" s="54" t="s">
        <v>36</v>
      </c>
      <c r="B23" s="6"/>
      <c r="C23" s="6"/>
      <c r="D23" s="6"/>
      <c r="E23" s="6"/>
      <c r="F23" s="6"/>
      <c r="G23" s="6"/>
      <c r="H23" s="6"/>
      <c r="I23" s="6"/>
      <c r="J23" s="6"/>
      <c r="K23" s="6"/>
    </row>
    <row r="24" spans="1:16">
      <c r="A24" s="54" t="s">
        <v>37</v>
      </c>
      <c r="B24" s="6"/>
      <c r="C24" s="6"/>
      <c r="D24" s="6"/>
      <c r="E24" s="6"/>
      <c r="F24" s="6"/>
      <c r="G24" s="6"/>
      <c r="H24" s="6"/>
      <c r="I24" s="6"/>
      <c r="J24" s="6"/>
      <c r="K24" s="6"/>
    </row>
    <row r="25" spans="1:16">
      <c r="A25" s="2"/>
      <c r="B25" s="2"/>
      <c r="C25" s="56"/>
    </row>
    <row r="26" spans="1:16">
      <c r="A26" s="2"/>
      <c r="B26" s="2"/>
      <c r="C26" s="56"/>
    </row>
    <row r="27" spans="1:16">
      <c r="A27" s="2" t="s">
        <v>38</v>
      </c>
      <c r="B27" s="2"/>
      <c r="C27" s="56">
        <v>125000</v>
      </c>
    </row>
    <row r="28" spans="1:16">
      <c r="A28" s="2" t="s">
        <v>39</v>
      </c>
      <c r="C28" s="57">
        <v>347000</v>
      </c>
    </row>
    <row r="36" spans="1:4">
      <c r="A36" s="2" t="s">
        <v>40</v>
      </c>
    </row>
    <row r="38" spans="1:4">
      <c r="B38" s="20"/>
      <c r="D38" s="3" t="s">
        <v>41</v>
      </c>
    </row>
    <row r="39" spans="1:4">
      <c r="B39" s="58">
        <v>1000</v>
      </c>
    </row>
    <row r="40" spans="1:4">
      <c r="A40" s="3" t="s">
        <v>14</v>
      </c>
      <c r="B40" s="58">
        <v>1500</v>
      </c>
    </row>
    <row r="41" spans="1:4">
      <c r="A41" s="47" t="s">
        <v>42</v>
      </c>
      <c r="B41" s="59">
        <v>12000</v>
      </c>
    </row>
    <row r="42" spans="1:4">
      <c r="A42" s="47" t="s">
        <v>43</v>
      </c>
      <c r="B42" s="1">
        <v>26000</v>
      </c>
    </row>
    <row r="43" spans="1:4">
      <c r="A43" s="20" t="s">
        <v>44</v>
      </c>
      <c r="B43" t="s">
        <v>45</v>
      </c>
    </row>
    <row r="44" spans="1:4">
      <c r="A44" s="47" t="s">
        <v>46</v>
      </c>
      <c r="B44" s="59">
        <v>1000</v>
      </c>
    </row>
    <row r="45" spans="1:4">
      <c r="A45" s="20" t="s">
        <v>47</v>
      </c>
    </row>
    <row r="46" spans="1:4">
      <c r="A46" s="20" t="s">
        <v>48</v>
      </c>
    </row>
    <row r="47" spans="1:4">
      <c r="A47" s="20" t="s">
        <v>49</v>
      </c>
    </row>
  </sheetData>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6"/>
  <sheetViews>
    <sheetView workbookViewId="0">
      <selection activeCell="A17" sqref="A17"/>
    </sheetView>
  </sheetViews>
  <sheetFormatPr defaultColWidth="9" defaultRowHeight="15"/>
  <cols>
    <col min="1" max="1" width="23.42578125" customWidth="1"/>
    <col min="2" max="2" width="15.42578125" customWidth="1"/>
    <col min="3" max="3" width="16.7109375" customWidth="1"/>
    <col min="4" max="4" width="21.28515625" customWidth="1"/>
    <col min="5" max="5" width="26.28515625" customWidth="1"/>
  </cols>
  <sheetData>
    <row r="1" spans="1:5">
      <c r="A1" s="4" t="s">
        <v>50</v>
      </c>
      <c r="B1" s="4" t="s">
        <v>51</v>
      </c>
      <c r="C1" s="4" t="s">
        <v>52</v>
      </c>
      <c r="D1" s="4" t="s">
        <v>53</v>
      </c>
      <c r="E1" s="4" t="s">
        <v>54</v>
      </c>
    </row>
    <row r="2" spans="1:5">
      <c r="A2" s="21" t="s">
        <v>55</v>
      </c>
      <c r="B2" s="6"/>
      <c r="C2" s="6"/>
      <c r="D2" s="6"/>
      <c r="E2" s="6"/>
    </row>
    <row r="3" spans="1:5">
      <c r="A3" s="21" t="s">
        <v>56</v>
      </c>
      <c r="B3" s="6"/>
      <c r="C3" s="6"/>
      <c r="D3" s="6"/>
      <c r="E3" s="6"/>
    </row>
    <row r="4" spans="1:5">
      <c r="A4" s="6" t="s">
        <v>57</v>
      </c>
      <c r="B4" s="6"/>
      <c r="C4" s="6"/>
      <c r="D4" s="6"/>
      <c r="E4" s="6"/>
    </row>
    <row r="5" spans="1:5">
      <c r="A5" s="6" t="s">
        <v>58</v>
      </c>
      <c r="B5" s="6"/>
      <c r="C5" s="6"/>
      <c r="D5" s="6"/>
      <c r="E5" s="6"/>
    </row>
    <row r="6" spans="1:5">
      <c r="A6" s="21" t="s">
        <v>59</v>
      </c>
      <c r="B6" s="6"/>
      <c r="C6" s="6"/>
      <c r="D6" s="6"/>
      <c r="E6" s="6"/>
    </row>
    <row r="7" spans="1:5">
      <c r="A7" s="21" t="s">
        <v>60</v>
      </c>
      <c r="B7" s="6"/>
      <c r="C7" s="6"/>
      <c r="D7" s="6"/>
      <c r="E7" s="6"/>
    </row>
    <row r="8" spans="1:5">
      <c r="A8" s="6" t="s">
        <v>61</v>
      </c>
      <c r="B8" s="6"/>
      <c r="C8" s="6"/>
      <c r="D8" s="6"/>
      <c r="E8" s="6"/>
    </row>
    <row r="9" spans="1:5">
      <c r="A9" s="21" t="s">
        <v>62</v>
      </c>
      <c r="B9" s="6"/>
      <c r="C9" s="6"/>
      <c r="D9" s="6"/>
      <c r="E9" s="6"/>
    </row>
    <row r="10" spans="1:5">
      <c r="A10" s="21" t="s">
        <v>63</v>
      </c>
      <c r="B10" s="6"/>
      <c r="C10" s="6"/>
      <c r="D10" s="6"/>
      <c r="E10" s="6"/>
    </row>
    <row r="11" spans="1:5">
      <c r="A11" s="6" t="s">
        <v>64</v>
      </c>
      <c r="B11" s="6"/>
      <c r="C11" s="6"/>
      <c r="D11" s="6"/>
      <c r="E11" s="6"/>
    </row>
    <row r="12" spans="1:5">
      <c r="A12" s="6" t="s">
        <v>65</v>
      </c>
      <c r="B12" s="6"/>
      <c r="C12" s="6"/>
      <c r="D12" s="6"/>
      <c r="E12" s="6"/>
    </row>
    <row r="13" spans="1:5">
      <c r="A13" s="21" t="s">
        <v>66</v>
      </c>
      <c r="B13" s="6"/>
      <c r="C13" s="6"/>
      <c r="D13" s="6"/>
      <c r="E13" s="6"/>
    </row>
    <row r="14" spans="1:5">
      <c r="A14" s="21" t="s">
        <v>67</v>
      </c>
      <c r="B14" s="6"/>
      <c r="C14" s="6"/>
      <c r="D14" s="6"/>
      <c r="E14" s="6"/>
    </row>
    <row r="15" spans="1:5">
      <c r="A15" s="6" t="s">
        <v>68</v>
      </c>
      <c r="B15" s="6"/>
      <c r="C15" s="6"/>
      <c r="D15" s="6"/>
      <c r="E15" s="6"/>
    </row>
    <row r="16" spans="1:5">
      <c r="A16" s="6" t="s">
        <v>69</v>
      </c>
      <c r="B16" s="6"/>
      <c r="C16" s="6"/>
      <c r="D16" s="6"/>
      <c r="E16" s="6"/>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7"/>
  <sheetViews>
    <sheetView topLeftCell="A6" workbookViewId="0">
      <selection activeCell="G18" sqref="G18"/>
    </sheetView>
  </sheetViews>
  <sheetFormatPr defaultColWidth="9" defaultRowHeight="15"/>
  <cols>
    <col min="1" max="1" width="16.7109375" customWidth="1"/>
    <col min="2" max="2" width="39.5703125" customWidth="1"/>
    <col min="3" max="3" width="21.28515625" customWidth="1"/>
    <col min="7" max="7" width="25.7109375" customWidth="1"/>
  </cols>
  <sheetData>
    <row r="1" spans="1:9">
      <c r="A1" s="4" t="s">
        <v>70</v>
      </c>
      <c r="B1" s="4" t="s">
        <v>54</v>
      </c>
    </row>
    <row r="2" spans="1:9">
      <c r="A2" s="34">
        <v>45992</v>
      </c>
      <c r="B2" s="6" t="s">
        <v>71</v>
      </c>
      <c r="E2" s="3" t="s">
        <v>72</v>
      </c>
      <c r="F2" s="3"/>
      <c r="G2" s="3"/>
      <c r="H2" s="3"/>
      <c r="I2" s="3"/>
    </row>
    <row r="3" spans="1:9">
      <c r="A3" s="34">
        <v>45992</v>
      </c>
      <c r="B3" s="6" t="s">
        <v>73</v>
      </c>
    </row>
    <row r="4" spans="1:9">
      <c r="A4" s="35">
        <v>45992</v>
      </c>
      <c r="B4" s="22" t="s">
        <v>74</v>
      </c>
    </row>
    <row r="5" spans="1:9">
      <c r="A5" s="36">
        <v>45931</v>
      </c>
      <c r="B5" s="26" t="s">
        <v>75</v>
      </c>
      <c r="E5" s="3" t="s">
        <v>76</v>
      </c>
    </row>
    <row r="7" spans="1:9">
      <c r="E7" s="37" t="s">
        <v>77</v>
      </c>
    </row>
    <row r="9" spans="1:9">
      <c r="A9" s="4" t="s">
        <v>50</v>
      </c>
      <c r="B9" s="4" t="s">
        <v>78</v>
      </c>
      <c r="C9" s="4" t="s">
        <v>79</v>
      </c>
      <c r="D9" s="20"/>
      <c r="E9" s="38" t="s">
        <v>80</v>
      </c>
    </row>
    <row r="10" spans="1:9">
      <c r="A10" s="21" t="s">
        <v>81</v>
      </c>
      <c r="B10" s="39">
        <v>40000</v>
      </c>
      <c r="C10" s="21" t="s">
        <v>82</v>
      </c>
    </row>
    <row r="11" spans="1:9">
      <c r="A11" s="21" t="s">
        <v>83</v>
      </c>
      <c r="B11" s="39">
        <v>40000</v>
      </c>
      <c r="C11" s="21" t="s">
        <v>82</v>
      </c>
    </row>
    <row r="12" spans="1:9" ht="21">
      <c r="A12" s="40" t="s">
        <v>84</v>
      </c>
      <c r="B12" s="41">
        <v>12000</v>
      </c>
      <c r="C12" s="42" t="s">
        <v>85</v>
      </c>
      <c r="E12" s="43" t="s">
        <v>86</v>
      </c>
    </row>
    <row r="13" spans="1:9">
      <c r="A13" s="40" t="s">
        <v>87</v>
      </c>
      <c r="B13" s="41">
        <v>7000</v>
      </c>
      <c r="C13" s="42" t="s">
        <v>88</v>
      </c>
    </row>
    <row r="14" spans="1:9">
      <c r="A14" s="40" t="s">
        <v>89</v>
      </c>
      <c r="B14" s="41">
        <v>15000</v>
      </c>
      <c r="C14" s="42" t="s">
        <v>90</v>
      </c>
      <c r="E14" s="20" t="s">
        <v>91</v>
      </c>
    </row>
    <row r="15" spans="1:9">
      <c r="A15" s="21" t="s">
        <v>92</v>
      </c>
      <c r="B15" s="39">
        <v>40000</v>
      </c>
      <c r="C15" s="21" t="s">
        <v>82</v>
      </c>
    </row>
    <row r="16" spans="1:9">
      <c r="A16" s="6" t="s">
        <v>93</v>
      </c>
      <c r="B16" s="44">
        <v>50000</v>
      </c>
      <c r="C16" s="6"/>
    </row>
    <row r="17" spans="1:9" ht="21">
      <c r="A17" s="6" t="s">
        <v>94</v>
      </c>
      <c r="B17" s="44"/>
      <c r="C17" s="6"/>
      <c r="E17" s="45" t="s">
        <v>95</v>
      </c>
      <c r="H17" s="46" t="s">
        <v>96</v>
      </c>
    </row>
    <row r="18" spans="1:9">
      <c r="A18" s="40" t="s">
        <v>97</v>
      </c>
      <c r="B18" s="41">
        <v>4500</v>
      </c>
      <c r="C18" s="42" t="s">
        <v>98</v>
      </c>
    </row>
    <row r="19" spans="1:9">
      <c r="A19" s="40" t="s">
        <v>99</v>
      </c>
      <c r="B19" s="41">
        <v>15000</v>
      </c>
      <c r="C19" s="42" t="s">
        <v>100</v>
      </c>
    </row>
    <row r="20" spans="1:9">
      <c r="A20" s="21" t="s">
        <v>101</v>
      </c>
      <c r="B20" s="9"/>
      <c r="C20" s="6"/>
      <c r="E20" s="47" t="s">
        <v>102</v>
      </c>
    </row>
    <row r="21" spans="1:9">
      <c r="A21" s="20"/>
      <c r="C21" t="s">
        <v>103</v>
      </c>
      <c r="F21" t="s">
        <v>104</v>
      </c>
    </row>
    <row r="23" spans="1:9">
      <c r="A23" t="s">
        <v>105</v>
      </c>
    </row>
    <row r="24" spans="1:9">
      <c r="D24" t="s">
        <v>106</v>
      </c>
    </row>
    <row r="25" spans="1:9">
      <c r="A25" t="s">
        <v>107</v>
      </c>
      <c r="I25" s="2" t="s">
        <v>108</v>
      </c>
    </row>
    <row r="26" spans="1:9">
      <c r="A26" t="s">
        <v>109</v>
      </c>
    </row>
    <row r="27" spans="1:9">
      <c r="A27" t="s">
        <v>110</v>
      </c>
    </row>
  </sheetData>
  <pageMargins left="0.511811024" right="0.511811024" top="0.78740157499999996" bottom="0.78740157499999996" header="0.31496062000000002" footer="0.31496062000000002"/>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8"/>
  <sheetViews>
    <sheetView workbookViewId="0">
      <selection activeCell="A11" sqref="A11"/>
    </sheetView>
  </sheetViews>
  <sheetFormatPr defaultColWidth="9" defaultRowHeight="15"/>
  <cols>
    <col min="1" max="2" width="24.42578125" customWidth="1"/>
    <col min="3" max="3" width="22.5703125" customWidth="1"/>
    <col min="4" max="4" width="21" customWidth="1"/>
    <col min="5" max="5" width="25.140625" customWidth="1"/>
  </cols>
  <sheetData>
    <row r="1" spans="1:7">
      <c r="A1" s="4" t="s">
        <v>111</v>
      </c>
      <c r="B1" s="4" t="s">
        <v>112</v>
      </c>
      <c r="C1" s="4" t="s">
        <v>113</v>
      </c>
      <c r="D1" s="4" t="s">
        <v>114</v>
      </c>
      <c r="E1" s="4" t="s">
        <v>115</v>
      </c>
      <c r="F1" s="31"/>
    </row>
    <row r="2" spans="1:7">
      <c r="A2" s="32" t="s">
        <v>116</v>
      </c>
      <c r="B2" s="6"/>
      <c r="C2" s="13"/>
      <c r="D2" s="6"/>
      <c r="E2" s="6"/>
    </row>
    <row r="3" spans="1:7">
      <c r="A3" s="22" t="s">
        <v>117</v>
      </c>
      <c r="B3" s="6"/>
      <c r="C3" s="13" t="s">
        <v>118</v>
      </c>
      <c r="D3" s="9">
        <v>4000</v>
      </c>
      <c r="E3" s="13" t="s">
        <v>119</v>
      </c>
    </row>
    <row r="4" spans="1:7">
      <c r="A4" s="6" t="s">
        <v>120</v>
      </c>
      <c r="B4" s="6"/>
      <c r="C4" s="13" t="s">
        <v>118</v>
      </c>
      <c r="D4" s="9">
        <v>18354</v>
      </c>
      <c r="E4" s="13" t="s">
        <v>119</v>
      </c>
    </row>
    <row r="5" spans="1:7">
      <c r="A5" s="21" t="s">
        <v>121</v>
      </c>
      <c r="B5" s="21"/>
      <c r="C5" s="13"/>
      <c r="D5" s="9">
        <v>3000</v>
      </c>
      <c r="E5" s="13" t="s">
        <v>119</v>
      </c>
    </row>
    <row r="6" spans="1:7">
      <c r="A6" s="6" t="s">
        <v>122</v>
      </c>
      <c r="B6" s="6"/>
      <c r="C6" s="13"/>
      <c r="D6" s="9"/>
      <c r="E6" s="13"/>
    </row>
    <row r="7" spans="1:7">
      <c r="A7" s="6" t="s">
        <v>123</v>
      </c>
      <c r="B7" s="6"/>
      <c r="C7" s="13"/>
      <c r="D7" s="9"/>
      <c r="E7" s="13"/>
    </row>
    <row r="8" spans="1:7">
      <c r="A8" s="6" t="s">
        <v>124</v>
      </c>
      <c r="B8" s="6"/>
      <c r="C8" s="13" t="s">
        <v>118</v>
      </c>
      <c r="D8" s="9"/>
      <c r="E8" s="13" t="s">
        <v>125</v>
      </c>
    </row>
    <row r="9" spans="1:7">
      <c r="A9" s="21" t="s">
        <v>126</v>
      </c>
      <c r="B9" s="6"/>
      <c r="C9" s="13"/>
      <c r="D9" s="9"/>
      <c r="E9" s="13" t="s">
        <v>125</v>
      </c>
    </row>
    <row r="10" spans="1:7">
      <c r="A10" s="21" t="s">
        <v>127</v>
      </c>
      <c r="B10" s="6"/>
      <c r="C10" s="13" t="s">
        <v>118</v>
      </c>
      <c r="D10" s="9">
        <v>7800</v>
      </c>
      <c r="E10" s="13" t="s">
        <v>119</v>
      </c>
    </row>
    <row r="11" spans="1:7">
      <c r="A11" s="21" t="s">
        <v>128</v>
      </c>
      <c r="B11" s="6"/>
      <c r="C11" s="13"/>
      <c r="D11" s="9"/>
      <c r="E11" s="13" t="s">
        <v>129</v>
      </c>
    </row>
    <row r="12" spans="1:7">
      <c r="A12" s="6" t="s">
        <v>130</v>
      </c>
      <c r="B12" s="6"/>
      <c r="C12" s="13"/>
      <c r="D12" s="9"/>
      <c r="E12" s="13" t="s">
        <v>125</v>
      </c>
    </row>
    <row r="13" spans="1:7">
      <c r="A13" s="6" t="s">
        <v>131</v>
      </c>
      <c r="B13" s="6"/>
      <c r="C13" s="13"/>
      <c r="D13" s="9"/>
      <c r="E13" s="13" t="s">
        <v>129</v>
      </c>
    </row>
    <row r="14" spans="1:7">
      <c r="A14" s="6" t="s">
        <v>132</v>
      </c>
      <c r="B14" s="6"/>
      <c r="C14" s="13"/>
      <c r="D14" s="9"/>
      <c r="E14" s="13"/>
      <c r="G14" t="s">
        <v>133</v>
      </c>
    </row>
    <row r="15" spans="1:7">
      <c r="A15" s="6" t="s">
        <v>134</v>
      </c>
      <c r="B15" s="6"/>
      <c r="C15" s="13"/>
      <c r="D15" s="9"/>
      <c r="E15" s="13"/>
      <c r="G15" s="20" t="s">
        <v>135</v>
      </c>
    </row>
    <row r="16" spans="1:7">
      <c r="A16" s="6" t="s">
        <v>136</v>
      </c>
      <c r="B16" s="6"/>
      <c r="C16" s="13" t="s">
        <v>118</v>
      </c>
      <c r="D16" s="9"/>
      <c r="E16" s="13"/>
    </row>
    <row r="17" spans="1:5">
      <c r="A17" s="21" t="s">
        <v>137</v>
      </c>
      <c r="B17" s="6"/>
      <c r="C17" s="13"/>
      <c r="D17" s="9"/>
      <c r="E17" s="13" t="s">
        <v>119</v>
      </c>
    </row>
    <row r="18" spans="1:5">
      <c r="A18" s="6" t="s">
        <v>56</v>
      </c>
      <c r="B18" s="6"/>
      <c r="C18" s="13"/>
      <c r="D18" s="9"/>
      <c r="E18" s="13"/>
    </row>
    <row r="19" spans="1:5">
      <c r="A19" s="21" t="s">
        <v>138</v>
      </c>
      <c r="B19" s="6"/>
      <c r="C19" s="13" t="s">
        <v>118</v>
      </c>
      <c r="D19" s="9"/>
      <c r="E19" s="13" t="s">
        <v>129</v>
      </c>
    </row>
    <row r="20" spans="1:5">
      <c r="A20" s="21" t="s">
        <v>139</v>
      </c>
      <c r="B20" s="6"/>
      <c r="C20" s="13"/>
      <c r="D20" s="9"/>
      <c r="E20" s="13" t="s">
        <v>125</v>
      </c>
    </row>
    <row r="21" spans="1:5">
      <c r="A21" s="21" t="s">
        <v>140</v>
      </c>
      <c r="B21" s="6"/>
      <c r="C21" s="13"/>
      <c r="D21" s="9">
        <v>3000</v>
      </c>
      <c r="E21" s="13" t="s">
        <v>119</v>
      </c>
    </row>
    <row r="22" spans="1:5">
      <c r="A22" s="6" t="s">
        <v>141</v>
      </c>
      <c r="B22" s="6"/>
      <c r="C22" s="13" t="s">
        <v>118</v>
      </c>
      <c r="D22" s="9"/>
      <c r="E22" s="13" t="s">
        <v>125</v>
      </c>
    </row>
    <row r="23" spans="1:5">
      <c r="A23" s="21" t="s">
        <v>142</v>
      </c>
      <c r="B23" s="6"/>
      <c r="C23" s="13" t="s">
        <v>118</v>
      </c>
      <c r="D23" s="9"/>
      <c r="E23" s="13" t="s">
        <v>125</v>
      </c>
    </row>
    <row r="24" spans="1:5">
      <c r="A24" s="6" t="s">
        <v>143</v>
      </c>
      <c r="B24" s="6"/>
      <c r="C24" s="13" t="s">
        <v>118</v>
      </c>
      <c r="D24" s="9"/>
      <c r="E24" s="13" t="s">
        <v>125</v>
      </c>
    </row>
    <row r="25" spans="1:5">
      <c r="A25" s="6" t="s">
        <v>144</v>
      </c>
      <c r="B25" s="6"/>
      <c r="C25" s="13" t="s">
        <v>118</v>
      </c>
      <c r="D25" s="9"/>
      <c r="E25" s="13"/>
    </row>
    <row r="26" spans="1:5">
      <c r="A26" s="21" t="s">
        <v>145</v>
      </c>
      <c r="B26" s="6"/>
      <c r="C26" s="13" t="s">
        <v>118</v>
      </c>
      <c r="D26" s="9"/>
      <c r="E26" s="13" t="s">
        <v>129</v>
      </c>
    </row>
    <row r="27" spans="1:5">
      <c r="A27" s="6" t="s">
        <v>56</v>
      </c>
      <c r="B27" s="6"/>
      <c r="C27" s="13"/>
      <c r="D27" s="9"/>
      <c r="E27" s="13"/>
    </row>
    <row r="28" spans="1:5">
      <c r="A28" s="26" t="s">
        <v>146</v>
      </c>
      <c r="B28" s="21"/>
      <c r="C28" s="13"/>
      <c r="D28" s="9">
        <v>13500</v>
      </c>
      <c r="E28" s="13" t="s">
        <v>119</v>
      </c>
    </row>
    <row r="29" spans="1:5">
      <c r="A29" s="6" t="s">
        <v>147</v>
      </c>
      <c r="B29" s="6"/>
      <c r="C29" s="13"/>
      <c r="D29" s="9"/>
      <c r="E29" s="13"/>
    </row>
    <row r="30" spans="1:5">
      <c r="A30" s="6" t="s">
        <v>148</v>
      </c>
      <c r="B30" s="6"/>
      <c r="C30" s="13"/>
      <c r="D30" s="9"/>
      <c r="E30" s="13" t="s">
        <v>125</v>
      </c>
    </row>
    <row r="31" spans="1:5">
      <c r="A31" s="6" t="s">
        <v>149</v>
      </c>
      <c r="B31" s="6"/>
      <c r="C31" s="13"/>
      <c r="D31" s="9"/>
      <c r="E31" s="13" t="s">
        <v>125</v>
      </c>
    </row>
    <row r="32" spans="1:5">
      <c r="A32" s="21" t="s">
        <v>150</v>
      </c>
      <c r="B32" s="6"/>
      <c r="C32" s="13" t="s">
        <v>118</v>
      </c>
      <c r="D32" s="9"/>
      <c r="E32" s="13" t="s">
        <v>125</v>
      </c>
    </row>
    <row r="33" spans="1:5">
      <c r="A33" s="6" t="s">
        <v>151</v>
      </c>
      <c r="B33" s="6"/>
      <c r="C33" s="13"/>
      <c r="D33" s="9"/>
      <c r="E33" s="13" t="s">
        <v>125</v>
      </c>
    </row>
    <row r="34" spans="1:5">
      <c r="A34" s="6" t="s">
        <v>152</v>
      </c>
      <c r="B34" s="6"/>
      <c r="C34" s="13" t="s">
        <v>118</v>
      </c>
      <c r="D34" s="9"/>
      <c r="E34" s="13" t="s">
        <v>153</v>
      </c>
    </row>
    <row r="35" spans="1:5">
      <c r="A35" s="6" t="s">
        <v>154</v>
      </c>
      <c r="B35" s="6"/>
      <c r="C35" s="13" t="s">
        <v>118</v>
      </c>
      <c r="D35" s="9"/>
      <c r="E35" s="13" t="s">
        <v>155</v>
      </c>
    </row>
    <row r="36" spans="1:5">
      <c r="A36" s="6" t="s">
        <v>156</v>
      </c>
      <c r="B36" s="6"/>
      <c r="C36" s="13" t="s">
        <v>118</v>
      </c>
      <c r="D36" s="9"/>
      <c r="E36" s="13"/>
    </row>
    <row r="37" spans="1:5">
      <c r="A37" s="6" t="s">
        <v>157</v>
      </c>
      <c r="B37" s="6"/>
      <c r="C37" s="13" t="s">
        <v>118</v>
      </c>
      <c r="D37" s="9"/>
      <c r="E37" s="13"/>
    </row>
    <row r="38" spans="1:5">
      <c r="D38" s="33">
        <f>SUM(D3:D37)</f>
        <v>49654</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
  <sheetViews>
    <sheetView workbookViewId="0">
      <selection activeCell="C16" sqref="C16"/>
    </sheetView>
  </sheetViews>
  <sheetFormatPr defaultColWidth="9" defaultRowHeight="15"/>
  <cols>
    <col min="1" max="1" width="17.5703125" customWidth="1"/>
    <col min="2" max="2" width="21.85546875" customWidth="1"/>
    <col min="3" max="3" width="39.28515625" customWidth="1"/>
    <col min="4" max="4" width="27" customWidth="1"/>
    <col min="5" max="5" width="18.85546875" customWidth="1"/>
    <col min="6" max="6" width="11.5703125" customWidth="1"/>
  </cols>
  <sheetData>
    <row r="1" spans="1:6">
      <c r="A1" s="4" t="s">
        <v>158</v>
      </c>
      <c r="B1" s="4" t="s">
        <v>159</v>
      </c>
      <c r="C1" s="4" t="s">
        <v>160</v>
      </c>
      <c r="D1" s="4" t="s">
        <v>161</v>
      </c>
      <c r="E1" s="4" t="s">
        <v>162</v>
      </c>
      <c r="F1" s="4" t="s">
        <v>163</v>
      </c>
    </row>
    <row r="2" spans="1:6">
      <c r="A2" s="24" t="s">
        <v>164</v>
      </c>
      <c r="B2" s="25">
        <v>1512</v>
      </c>
      <c r="C2" s="26" t="s">
        <v>165</v>
      </c>
      <c r="D2" s="22" t="s">
        <v>166</v>
      </c>
      <c r="E2" s="21" t="s">
        <v>167</v>
      </c>
      <c r="F2" s="13" t="s">
        <v>168</v>
      </c>
    </row>
    <row r="3" spans="1:6">
      <c r="A3" s="17" t="s">
        <v>56</v>
      </c>
      <c r="B3" s="13"/>
      <c r="C3" s="21" t="s">
        <v>169</v>
      </c>
      <c r="D3" s="26" t="s">
        <v>170</v>
      </c>
      <c r="E3" s="26" t="s">
        <v>171</v>
      </c>
      <c r="F3" s="6"/>
    </row>
    <row r="4" spans="1:6">
      <c r="A4" s="24" t="s">
        <v>172</v>
      </c>
      <c r="B4" s="27">
        <v>1000</v>
      </c>
      <c r="C4" s="21" t="s">
        <v>173</v>
      </c>
      <c r="D4" s="6" t="s">
        <v>174</v>
      </c>
      <c r="E4" s="21" t="s">
        <v>175</v>
      </c>
      <c r="F4" s="6"/>
    </row>
    <row r="5" spans="1:6">
      <c r="A5" s="17" t="s">
        <v>14</v>
      </c>
      <c r="B5" s="6"/>
      <c r="C5" s="6" t="s">
        <v>176</v>
      </c>
      <c r="D5" s="6" t="s">
        <v>177</v>
      </c>
      <c r="E5" s="26" t="s">
        <v>178</v>
      </c>
      <c r="F5" s="6"/>
    </row>
    <row r="6" spans="1:6">
      <c r="A6" s="17" t="s">
        <v>179</v>
      </c>
      <c r="B6" s="6"/>
      <c r="C6" s="6" t="s">
        <v>180</v>
      </c>
      <c r="D6" s="6" t="s">
        <v>181</v>
      </c>
      <c r="E6" s="6"/>
      <c r="F6" s="6"/>
    </row>
    <row r="7" spans="1:6">
      <c r="A7" s="6" t="s">
        <v>182</v>
      </c>
      <c r="B7" s="6"/>
      <c r="C7" s="6" t="s">
        <v>183</v>
      </c>
      <c r="D7" s="6"/>
      <c r="E7" s="6"/>
      <c r="F7" s="6"/>
    </row>
    <row r="8" spans="1:6">
      <c r="A8" s="6"/>
      <c r="B8" s="6"/>
      <c r="C8" s="6" t="s">
        <v>184</v>
      </c>
      <c r="D8" s="6"/>
      <c r="E8" s="6"/>
      <c r="F8" s="6"/>
    </row>
    <row r="9" spans="1:6">
      <c r="A9" s="6"/>
      <c r="B9" s="6"/>
      <c r="C9" s="6" t="s">
        <v>185</v>
      </c>
      <c r="D9" s="6"/>
      <c r="E9" s="6"/>
      <c r="F9" s="6"/>
    </row>
    <row r="10" spans="1:6">
      <c r="A10" s="21"/>
      <c r="B10" s="21"/>
      <c r="C10" s="6" t="s">
        <v>186</v>
      </c>
      <c r="D10" s="21"/>
      <c r="E10" s="21"/>
      <c r="F10" s="21"/>
    </row>
    <row r="11" spans="1:6">
      <c r="A11" s="6"/>
      <c r="B11" s="6"/>
      <c r="C11" s="22" t="s">
        <v>187</v>
      </c>
      <c r="D11" s="6"/>
      <c r="E11" s="6"/>
      <c r="F11" s="6"/>
    </row>
    <row r="12" spans="1:6">
      <c r="A12" t="s">
        <v>188</v>
      </c>
      <c r="B12">
        <v>902</v>
      </c>
    </row>
    <row r="14" spans="1:6">
      <c r="D14" t="s">
        <v>189</v>
      </c>
    </row>
    <row r="17" spans="1:4">
      <c r="A17" t="s">
        <v>190</v>
      </c>
      <c r="D17" t="s">
        <v>191</v>
      </c>
    </row>
    <row r="19" spans="1:4">
      <c r="B19" s="28"/>
    </row>
    <row r="20" spans="1:4">
      <c r="A20" s="29" t="s">
        <v>192</v>
      </c>
      <c r="B20" s="30">
        <v>10000</v>
      </c>
    </row>
    <row r="21" spans="1:4">
      <c r="A21" s="29" t="s">
        <v>193</v>
      </c>
      <c r="B21" s="30">
        <v>1000</v>
      </c>
    </row>
    <row r="22" spans="1:4">
      <c r="A22" s="29" t="s">
        <v>194</v>
      </c>
    </row>
    <row r="23" spans="1:4">
      <c r="A23" s="29" t="s">
        <v>195</v>
      </c>
    </row>
  </sheetData>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K23"/>
  <sheetViews>
    <sheetView workbookViewId="0">
      <selection activeCell="M10" sqref="M10"/>
    </sheetView>
  </sheetViews>
  <sheetFormatPr defaultColWidth="9" defaultRowHeight="15"/>
  <sheetData>
    <row r="2" spans="1:11">
      <c r="A2" t="s">
        <v>196</v>
      </c>
      <c r="J2" s="23"/>
    </row>
    <row r="3" spans="1:11">
      <c r="A3" t="s">
        <v>197</v>
      </c>
      <c r="H3" t="s">
        <v>198</v>
      </c>
    </row>
    <row r="5" spans="1:11">
      <c r="A5" s="1" t="s">
        <v>199</v>
      </c>
    </row>
    <row r="6" spans="1:11">
      <c r="A6" s="23" t="s">
        <v>200</v>
      </c>
    </row>
    <row r="7" spans="1:11">
      <c r="A7" s="1" t="s">
        <v>201</v>
      </c>
    </row>
    <row r="8" spans="1:11">
      <c r="A8" s="1" t="s">
        <v>202</v>
      </c>
    </row>
    <row r="9" spans="1:11">
      <c r="A9" s="1" t="s">
        <v>203</v>
      </c>
      <c r="J9" s="2"/>
    </row>
    <row r="10" spans="1:11">
      <c r="A10" s="1" t="s">
        <v>204</v>
      </c>
      <c r="K10" t="s">
        <v>205</v>
      </c>
    </row>
    <row r="11" spans="1:11">
      <c r="A11" t="s">
        <v>206</v>
      </c>
      <c r="K11" t="s">
        <v>207</v>
      </c>
    </row>
    <row r="12" spans="1:11">
      <c r="A12" t="s">
        <v>208</v>
      </c>
    </row>
    <row r="13" spans="1:11">
      <c r="A13" s="1" t="s">
        <v>209</v>
      </c>
    </row>
    <row r="14" spans="1:11">
      <c r="A14" s="1" t="s">
        <v>210</v>
      </c>
    </row>
    <row r="15" spans="1:11">
      <c r="A15" t="s">
        <v>211</v>
      </c>
    </row>
    <row r="16" spans="1:11">
      <c r="A16" s="1" t="s">
        <v>212</v>
      </c>
    </row>
    <row r="17" spans="1:1">
      <c r="A17" t="s">
        <v>213</v>
      </c>
    </row>
    <row r="18" spans="1:1">
      <c r="A18" s="1" t="s">
        <v>214</v>
      </c>
    </row>
    <row r="19" spans="1:1">
      <c r="A19" t="s">
        <v>215</v>
      </c>
    </row>
    <row r="23" spans="1:1">
      <c r="A23" t="s">
        <v>216</v>
      </c>
    </row>
  </sheetData>
  <pageMargins left="0.511811024" right="0.511811024" top="0.78740157499999996" bottom="0.78740157499999996" header="0.31496062000000002" footer="0.3149606200000000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2"/>
  <sheetViews>
    <sheetView workbookViewId="0">
      <selection activeCell="B17" sqref="B17"/>
    </sheetView>
  </sheetViews>
  <sheetFormatPr defaultColWidth="9" defaultRowHeight="15"/>
  <cols>
    <col min="1" max="1" width="26" customWidth="1"/>
    <col min="2" max="2" width="47" customWidth="1"/>
  </cols>
  <sheetData>
    <row r="1" spans="1:2">
      <c r="A1" s="4" t="s">
        <v>217</v>
      </c>
      <c r="B1" s="4" t="s">
        <v>218</v>
      </c>
    </row>
    <row r="2" spans="1:2">
      <c r="A2" s="21" t="s">
        <v>219</v>
      </c>
      <c r="B2" s="21" t="s">
        <v>220</v>
      </c>
    </row>
    <row r="3" spans="1:2">
      <c r="A3" s="6" t="s">
        <v>221</v>
      </c>
      <c r="B3" s="6" t="s">
        <v>222</v>
      </c>
    </row>
    <row r="4" spans="1:2">
      <c r="A4" s="6" t="s">
        <v>223</v>
      </c>
      <c r="B4" s="6" t="s">
        <v>224</v>
      </c>
    </row>
    <row r="5" spans="1:2">
      <c r="A5" s="22" t="s">
        <v>92</v>
      </c>
      <c r="B5" s="22" t="s">
        <v>225</v>
      </c>
    </row>
    <row r="12" spans="1:2">
      <c r="B12" t="s">
        <v>226</v>
      </c>
    </row>
  </sheetData>
  <pageMargins left="0.511811024" right="0.511811024" top="0.78740157499999996" bottom="0.78740157499999996" header="0.31496062000000002" footer="0.3149606200000000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7"/>
  <sheetViews>
    <sheetView workbookViewId="0">
      <selection activeCell="A16" sqref="A16"/>
    </sheetView>
  </sheetViews>
  <sheetFormatPr defaultColWidth="9" defaultRowHeight="15"/>
  <sheetData>
    <row r="1" spans="1:10">
      <c r="A1" s="1"/>
    </row>
    <row r="3" spans="1:10">
      <c r="A3" s="1" t="s">
        <v>227</v>
      </c>
    </row>
    <row r="5" spans="1:10">
      <c r="A5" s="3" t="s">
        <v>228</v>
      </c>
    </row>
    <row r="7" spans="1:10">
      <c r="A7" s="1" t="s">
        <v>229</v>
      </c>
    </row>
    <row r="9" spans="1:10">
      <c r="A9" t="s">
        <v>230</v>
      </c>
      <c r="J9">
        <v>6</v>
      </c>
    </row>
    <row r="11" spans="1:10">
      <c r="A11" s="3" t="s">
        <v>231</v>
      </c>
    </row>
    <row r="13" spans="1:10">
      <c r="A13" s="3" t="s">
        <v>232</v>
      </c>
    </row>
    <row r="15" spans="1:10">
      <c r="A15" t="s">
        <v>233</v>
      </c>
    </row>
    <row r="17" spans="1:1">
      <c r="A17" t="s">
        <v>234</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28"/>
  <sheetViews>
    <sheetView workbookViewId="0"/>
  </sheetViews>
  <sheetFormatPr defaultColWidth="9" defaultRowHeight="15"/>
  <cols>
    <col min="1" max="1" width="69.7109375" customWidth="1"/>
    <col min="2" max="2" width="19.140625" customWidth="1"/>
    <col min="3" max="3" width="25" customWidth="1"/>
    <col min="4" max="4" width="27" customWidth="1"/>
    <col min="5" max="5" width="24.7109375" customWidth="1"/>
    <col min="6" max="6" width="16.28515625" customWidth="1"/>
    <col min="7" max="7" width="19.42578125" customWidth="1"/>
    <col min="8" max="8" width="21.5703125" customWidth="1"/>
    <col min="9" max="9" width="26" customWidth="1"/>
    <col min="10" max="10" width="32.85546875" customWidth="1"/>
  </cols>
  <sheetData>
    <row r="1" spans="1:10">
      <c r="A1" s="4" t="e">
        <f>-ESCRITORIO!A1</f>
        <v>#VALUE!</v>
      </c>
      <c r="B1" s="12" t="s">
        <v>235</v>
      </c>
      <c r="C1" s="4" t="s">
        <v>236</v>
      </c>
      <c r="D1" s="4" t="s">
        <v>237</v>
      </c>
      <c r="E1" s="4" t="s">
        <v>238</v>
      </c>
      <c r="F1" s="4" t="s">
        <v>239</v>
      </c>
      <c r="G1" s="4" t="s">
        <v>240</v>
      </c>
      <c r="H1" s="4" t="s">
        <v>241</v>
      </c>
      <c r="I1" s="4" t="s">
        <v>242</v>
      </c>
      <c r="J1" s="4" t="s">
        <v>243</v>
      </c>
    </row>
    <row r="2" spans="1:10">
      <c r="A2" s="13" t="s">
        <v>244</v>
      </c>
      <c r="B2" s="13" t="s">
        <v>245</v>
      </c>
      <c r="C2" s="13"/>
      <c r="D2" s="13" t="s">
        <v>246</v>
      </c>
      <c r="E2" s="13" t="s">
        <v>247</v>
      </c>
      <c r="F2" s="13">
        <v>627644.75</v>
      </c>
      <c r="G2" s="13" t="s">
        <v>248</v>
      </c>
      <c r="H2" s="13" t="s">
        <v>249</v>
      </c>
      <c r="I2" s="13" t="s">
        <v>249</v>
      </c>
      <c r="J2" s="13"/>
    </row>
    <row r="3" spans="1:10">
      <c r="A3" s="13" t="s">
        <v>250</v>
      </c>
      <c r="B3" s="13" t="s">
        <v>245</v>
      </c>
      <c r="C3" s="13" t="s">
        <v>251</v>
      </c>
      <c r="D3" s="14">
        <v>0.1</v>
      </c>
      <c r="E3" s="13" t="s">
        <v>252</v>
      </c>
      <c r="F3" s="15">
        <v>100000</v>
      </c>
      <c r="G3" s="13" t="s">
        <v>248</v>
      </c>
      <c r="H3" s="13" t="s">
        <v>253</v>
      </c>
      <c r="I3" s="13" t="s">
        <v>253</v>
      </c>
      <c r="J3" s="13"/>
    </row>
    <row r="4" spans="1:10">
      <c r="A4" s="13" t="s">
        <v>254</v>
      </c>
      <c r="B4" s="13" t="s">
        <v>245</v>
      </c>
      <c r="C4" s="13"/>
      <c r="D4" s="13" t="s">
        <v>246</v>
      </c>
      <c r="E4" s="13" t="s">
        <v>255</v>
      </c>
      <c r="F4" s="13">
        <v>111306.88</v>
      </c>
      <c r="G4" s="13" t="s">
        <v>248</v>
      </c>
      <c r="H4" s="13" t="s">
        <v>249</v>
      </c>
      <c r="I4" s="13" t="s">
        <v>249</v>
      </c>
      <c r="J4" s="13"/>
    </row>
    <row r="5" spans="1:10">
      <c r="A5" s="13" t="s">
        <v>256</v>
      </c>
      <c r="B5" s="13" t="s">
        <v>245</v>
      </c>
      <c r="C5" s="13" t="s">
        <v>257</v>
      </c>
      <c r="D5" s="14">
        <v>0.1</v>
      </c>
      <c r="E5" s="16">
        <v>3883018000</v>
      </c>
      <c r="F5" s="17">
        <v>3313.95</v>
      </c>
      <c r="G5" s="17" t="s">
        <v>258</v>
      </c>
      <c r="H5" s="13" t="s">
        <v>253</v>
      </c>
      <c r="I5" s="13" t="s">
        <v>253</v>
      </c>
      <c r="J5" s="13"/>
    </row>
    <row r="6" spans="1:10">
      <c r="A6" s="13" t="s">
        <v>259</v>
      </c>
      <c r="B6" s="13" t="s">
        <v>245</v>
      </c>
      <c r="C6" s="13" t="s">
        <v>260</v>
      </c>
      <c r="D6" s="14">
        <v>0.06</v>
      </c>
      <c r="E6" s="13" t="s">
        <v>261</v>
      </c>
      <c r="F6" s="13">
        <v>33941.360000000001</v>
      </c>
      <c r="G6" s="13" t="s">
        <v>248</v>
      </c>
      <c r="H6" s="13" t="s">
        <v>253</v>
      </c>
      <c r="I6" s="13" t="s">
        <v>253</v>
      </c>
      <c r="J6" s="13"/>
    </row>
    <row r="7" spans="1:10">
      <c r="A7" s="13" t="s">
        <v>262</v>
      </c>
      <c r="B7" s="13" t="s">
        <v>245</v>
      </c>
      <c r="C7" s="13" t="s">
        <v>263</v>
      </c>
      <c r="D7" s="14">
        <v>0.06</v>
      </c>
      <c r="E7" s="13" t="s">
        <v>264</v>
      </c>
      <c r="F7" s="13">
        <v>39195.24</v>
      </c>
      <c r="G7" s="13" t="s">
        <v>248</v>
      </c>
      <c r="H7" s="13" t="s">
        <v>253</v>
      </c>
      <c r="I7" s="13" t="s">
        <v>253</v>
      </c>
      <c r="J7" s="13"/>
    </row>
    <row r="8" spans="1:10">
      <c r="A8" s="13" t="s">
        <v>265</v>
      </c>
      <c r="B8" s="13" t="s">
        <v>245</v>
      </c>
      <c r="C8" s="13" t="s">
        <v>266</v>
      </c>
      <c r="D8" s="14">
        <v>0.1</v>
      </c>
      <c r="E8" s="13" t="s">
        <v>267</v>
      </c>
      <c r="F8" s="17"/>
      <c r="G8" s="17" t="s">
        <v>258</v>
      </c>
      <c r="H8" s="13" t="s">
        <v>268</v>
      </c>
      <c r="I8" s="13" t="s">
        <v>253</v>
      </c>
      <c r="J8" s="13"/>
    </row>
    <row r="9" spans="1:10">
      <c r="A9" s="13" t="s">
        <v>269</v>
      </c>
      <c r="B9" s="13" t="s">
        <v>245</v>
      </c>
      <c r="C9" s="13" t="s">
        <v>270</v>
      </c>
      <c r="D9" s="14">
        <v>0.1</v>
      </c>
      <c r="E9" s="18">
        <v>1507001005</v>
      </c>
      <c r="F9" s="13">
        <v>54020.58</v>
      </c>
      <c r="G9" s="17"/>
      <c r="H9" s="13"/>
      <c r="I9" s="13"/>
      <c r="J9" s="13"/>
    </row>
    <row r="10" spans="1:10">
      <c r="A10" s="13" t="s">
        <v>271</v>
      </c>
      <c r="B10" s="13" t="s">
        <v>245</v>
      </c>
      <c r="C10" s="13" t="s">
        <v>272</v>
      </c>
      <c r="D10" s="14">
        <v>0.06</v>
      </c>
      <c r="E10" s="18">
        <v>1507001005</v>
      </c>
      <c r="F10" s="13">
        <v>54020.58</v>
      </c>
      <c r="G10" s="17" t="s">
        <v>258</v>
      </c>
      <c r="H10" s="13" t="s">
        <v>273</v>
      </c>
      <c r="I10" s="13" t="s">
        <v>253</v>
      </c>
      <c r="J10" s="13"/>
    </row>
    <row r="11" spans="1:10">
      <c r="A11" s="13" t="s">
        <v>274</v>
      </c>
      <c r="B11" s="13" t="s">
        <v>245</v>
      </c>
      <c r="C11" s="13" t="s">
        <v>275</v>
      </c>
      <c r="D11" s="13" t="s">
        <v>276</v>
      </c>
      <c r="E11" s="13" t="s">
        <v>277</v>
      </c>
      <c r="F11" s="13"/>
      <c r="G11" s="13" t="s">
        <v>248</v>
      </c>
      <c r="H11" s="13" t="s">
        <v>253</v>
      </c>
      <c r="I11" s="13" t="s">
        <v>253</v>
      </c>
      <c r="J11" s="13"/>
    </row>
    <row r="12" spans="1:10">
      <c r="A12" s="13" t="s">
        <v>278</v>
      </c>
      <c r="B12" s="13" t="s">
        <v>245</v>
      </c>
      <c r="C12" s="13" t="s">
        <v>275</v>
      </c>
      <c r="D12" s="13" t="s">
        <v>276</v>
      </c>
      <c r="E12" s="13" t="s">
        <v>279</v>
      </c>
      <c r="F12" s="13"/>
      <c r="G12" s="13" t="s">
        <v>248</v>
      </c>
      <c r="H12" s="13" t="s">
        <v>273</v>
      </c>
      <c r="I12" s="13" t="s">
        <v>253</v>
      </c>
      <c r="J12" s="13"/>
    </row>
    <row r="13" spans="1:10">
      <c r="A13" s="13" t="s">
        <v>280</v>
      </c>
      <c r="B13" s="13" t="s">
        <v>245</v>
      </c>
      <c r="C13" s="13" t="s">
        <v>275</v>
      </c>
      <c r="D13" s="13" t="s">
        <v>276</v>
      </c>
      <c r="E13" s="13" t="s">
        <v>281</v>
      </c>
      <c r="F13" s="13"/>
      <c r="G13" s="13" t="s">
        <v>248</v>
      </c>
      <c r="H13" s="13" t="s">
        <v>253</v>
      </c>
      <c r="I13" s="13" t="s">
        <v>253</v>
      </c>
      <c r="J13" s="13"/>
    </row>
    <row r="14" spans="1:10">
      <c r="A14" s="13" t="s">
        <v>282</v>
      </c>
      <c r="B14" s="13" t="s">
        <v>245</v>
      </c>
      <c r="C14" s="13" t="s">
        <v>246</v>
      </c>
      <c r="D14" s="13" t="s">
        <v>246</v>
      </c>
      <c r="E14" s="13"/>
      <c r="F14" s="13"/>
      <c r="G14" s="13" t="s">
        <v>258</v>
      </c>
      <c r="H14" s="13"/>
      <c r="I14" s="13"/>
      <c r="J14" s="13"/>
    </row>
    <row r="15" spans="1:10">
      <c r="A15" s="13" t="s">
        <v>283</v>
      </c>
      <c r="B15" s="13" t="s">
        <v>284</v>
      </c>
      <c r="C15" s="13" t="s">
        <v>246</v>
      </c>
      <c r="D15" s="13" t="s">
        <v>246</v>
      </c>
      <c r="E15" s="17" t="s">
        <v>285</v>
      </c>
      <c r="F15" s="19">
        <v>57000</v>
      </c>
      <c r="G15" s="17" t="s">
        <v>258</v>
      </c>
      <c r="H15" s="13" t="s">
        <v>253</v>
      </c>
      <c r="I15" s="13" t="s">
        <v>253</v>
      </c>
      <c r="J15" s="13"/>
    </row>
    <row r="16" spans="1:10">
      <c r="A16" s="13" t="s">
        <v>286</v>
      </c>
      <c r="B16" s="13" t="s">
        <v>284</v>
      </c>
      <c r="C16" s="13" t="s">
        <v>246</v>
      </c>
      <c r="D16" s="13" t="e">
        <f>-D11</f>
        <v>#VALUE!</v>
      </c>
      <c r="E16" s="13"/>
      <c r="F16" s="13"/>
      <c r="G16" s="13" t="s">
        <v>248</v>
      </c>
      <c r="H16" s="13" t="s">
        <v>249</v>
      </c>
      <c r="I16" s="13" t="s">
        <v>249</v>
      </c>
      <c r="J16" s="13"/>
    </row>
    <row r="17" spans="1:10">
      <c r="A17" s="13" t="s">
        <v>287</v>
      </c>
      <c r="B17" s="13" t="s">
        <v>284</v>
      </c>
      <c r="C17" s="13" t="s">
        <v>288</v>
      </c>
      <c r="D17" s="14">
        <v>0.1</v>
      </c>
      <c r="E17" s="60" t="s">
        <v>289</v>
      </c>
      <c r="F17" s="13">
        <v>27686.639999999999</v>
      </c>
      <c r="G17" s="13" t="s">
        <v>248</v>
      </c>
      <c r="H17" s="13" t="s">
        <v>253</v>
      </c>
      <c r="I17" s="13" t="s">
        <v>253</v>
      </c>
      <c r="J17" s="13"/>
    </row>
    <row r="18" spans="1:10">
      <c r="A18" s="13" t="s">
        <v>290</v>
      </c>
      <c r="B18" s="13" t="s">
        <v>284</v>
      </c>
      <c r="C18" s="13"/>
      <c r="D18" s="13"/>
      <c r="E18" s="13" t="s">
        <v>291</v>
      </c>
      <c r="F18" s="13">
        <v>32226.49</v>
      </c>
      <c r="G18" s="13" t="s">
        <v>248</v>
      </c>
      <c r="H18" s="13" t="s">
        <v>253</v>
      </c>
      <c r="I18" s="13" t="s">
        <v>253</v>
      </c>
      <c r="J18" s="13"/>
    </row>
    <row r="19" spans="1:10">
      <c r="A19" s="13" t="s">
        <v>292</v>
      </c>
      <c r="B19" s="13" t="s">
        <v>284</v>
      </c>
      <c r="C19" s="13" t="s">
        <v>293</v>
      </c>
      <c r="D19" s="14">
        <v>0.1</v>
      </c>
      <c r="E19" s="13" t="s">
        <v>291</v>
      </c>
      <c r="F19" s="13">
        <v>32226.49</v>
      </c>
      <c r="G19" s="13" t="s">
        <v>248</v>
      </c>
      <c r="H19" s="13" t="s">
        <v>253</v>
      </c>
      <c r="I19" s="13" t="s">
        <v>253</v>
      </c>
      <c r="J19" s="13"/>
    </row>
    <row r="20" spans="1:10">
      <c r="A20" s="13" t="s">
        <v>294</v>
      </c>
      <c r="B20" s="13" t="s">
        <v>284</v>
      </c>
      <c r="C20" s="13" t="s">
        <v>295</v>
      </c>
      <c r="D20" s="14">
        <v>0.1</v>
      </c>
      <c r="E20" s="13" t="s">
        <v>291</v>
      </c>
      <c r="F20" s="13">
        <v>32226.49</v>
      </c>
      <c r="G20" s="13" t="s">
        <v>248</v>
      </c>
      <c r="H20" s="13" t="s">
        <v>253</v>
      </c>
      <c r="I20" s="13" t="s">
        <v>253</v>
      </c>
      <c r="J20" s="13"/>
    </row>
    <row r="21" spans="1:10">
      <c r="A21" s="17" t="s">
        <v>296</v>
      </c>
      <c r="B21" s="17" t="s">
        <v>297</v>
      </c>
      <c r="C21" s="17"/>
      <c r="D21" s="17"/>
      <c r="E21" s="17"/>
      <c r="F21" s="17"/>
      <c r="G21" s="17" t="s">
        <v>258</v>
      </c>
      <c r="H21" s="13"/>
      <c r="I21" s="13"/>
      <c r="J21" s="13"/>
    </row>
    <row r="22" spans="1:10">
      <c r="A22" s="17" t="s">
        <v>298</v>
      </c>
      <c r="B22" s="17" t="s">
        <v>284</v>
      </c>
      <c r="C22" s="17"/>
      <c r="D22" s="17"/>
      <c r="E22" s="17"/>
      <c r="F22" s="17"/>
      <c r="G22" s="17" t="s">
        <v>258</v>
      </c>
      <c r="H22" s="13"/>
      <c r="I22" s="13"/>
      <c r="J22" s="13"/>
    </row>
    <row r="23" spans="1:10">
      <c r="A23" s="17" t="s">
        <v>299</v>
      </c>
      <c r="B23" s="17" t="s">
        <v>284</v>
      </c>
      <c r="C23" s="17"/>
      <c r="D23" s="17"/>
      <c r="E23" s="17"/>
      <c r="F23" s="17"/>
      <c r="G23" s="17" t="s">
        <v>258</v>
      </c>
      <c r="H23" s="13"/>
      <c r="I23" s="13"/>
      <c r="J23" s="13"/>
    </row>
    <row r="24" spans="1:10">
      <c r="A24" s="17" t="s">
        <v>300</v>
      </c>
      <c r="B24" s="17" t="s">
        <v>245</v>
      </c>
      <c r="C24" s="17"/>
      <c r="D24" s="17"/>
      <c r="E24" s="17"/>
      <c r="F24" s="17"/>
      <c r="G24" s="17" t="s">
        <v>258</v>
      </c>
      <c r="H24" s="13"/>
      <c r="I24" s="13"/>
      <c r="J24" s="13"/>
    </row>
    <row r="25" spans="1:10">
      <c r="A25" s="13" t="s">
        <v>301</v>
      </c>
      <c r="B25" s="13" t="s">
        <v>302</v>
      </c>
      <c r="C25" s="13"/>
      <c r="D25" s="13"/>
      <c r="E25" s="13"/>
      <c r="F25" s="13"/>
      <c r="G25" s="13" t="s">
        <v>258</v>
      </c>
      <c r="H25" s="13"/>
      <c r="I25" s="13"/>
      <c r="J25" s="13"/>
    </row>
    <row r="26" spans="1:10">
      <c r="A26" s="17" t="s">
        <v>303</v>
      </c>
      <c r="B26" s="17" t="s">
        <v>304</v>
      </c>
      <c r="C26" s="17"/>
      <c r="D26" s="17"/>
      <c r="E26" s="17"/>
      <c r="F26" s="17"/>
      <c r="G26" s="17" t="s">
        <v>258</v>
      </c>
      <c r="H26" s="13"/>
      <c r="I26" s="13"/>
      <c r="J26" s="13"/>
    </row>
    <row r="28" spans="1:10">
      <c r="A28" s="20" t="s">
        <v>305</v>
      </c>
    </row>
  </sheetData>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C5"/>
  <sheetViews>
    <sheetView workbookViewId="0">
      <selection activeCell="A3" sqref="A3"/>
    </sheetView>
  </sheetViews>
  <sheetFormatPr defaultColWidth="9" defaultRowHeight="15"/>
  <sheetData>
    <row r="2" spans="1:3">
      <c r="A2" t="s">
        <v>306</v>
      </c>
      <c r="C2" t="s">
        <v>307</v>
      </c>
    </row>
    <row r="3" spans="1:3">
      <c r="A3" t="s">
        <v>308</v>
      </c>
    </row>
    <row r="4" spans="1:3">
      <c r="A4" t="s">
        <v>309</v>
      </c>
      <c r="C4" t="s">
        <v>307</v>
      </c>
    </row>
    <row r="5" spans="1:3">
      <c r="A5" s="1" t="s">
        <v>310</v>
      </c>
      <c r="C5" t="s">
        <v>307</v>
      </c>
    </row>
  </sheetData>
  <pageMargins left="0.511811024" right="0.511811024" top="0.78740157499999996" bottom="0.78740157499999996" header="0.31496062000000002" footer="0.3149606200000000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9"/>
  <sheetViews>
    <sheetView workbookViewId="0">
      <selection activeCell="B5" sqref="B5"/>
    </sheetView>
  </sheetViews>
  <sheetFormatPr defaultColWidth="9" defaultRowHeight="15"/>
  <cols>
    <col min="1" max="1" width="42.140625" customWidth="1"/>
    <col min="2" max="2" width="21.7109375" customWidth="1"/>
    <col min="3" max="3" width="21.85546875" customWidth="1"/>
  </cols>
  <sheetData>
    <row r="1" spans="1:3">
      <c r="A1" s="4" t="s">
        <v>311</v>
      </c>
      <c r="B1" s="5" t="s">
        <v>312</v>
      </c>
      <c r="C1" s="4" t="s">
        <v>313</v>
      </c>
    </row>
    <row r="2" spans="1:3">
      <c r="A2" s="6" t="s">
        <v>314</v>
      </c>
      <c r="B2" s="7">
        <v>15000</v>
      </c>
      <c r="C2" s="6" t="s">
        <v>315</v>
      </c>
    </row>
    <row r="3" spans="1:3">
      <c r="A3" s="6" t="s">
        <v>316</v>
      </c>
      <c r="B3" s="7">
        <v>10000</v>
      </c>
      <c r="C3" s="6" t="s">
        <v>317</v>
      </c>
    </row>
    <row r="4" spans="1:3">
      <c r="A4" s="6" t="s">
        <v>318</v>
      </c>
      <c r="B4" s="7">
        <v>16000</v>
      </c>
      <c r="C4" s="6" t="s">
        <v>319</v>
      </c>
    </row>
    <row r="5" spans="1:3">
      <c r="A5" s="6" t="s">
        <v>320</v>
      </c>
      <c r="B5" s="7">
        <v>2500</v>
      </c>
      <c r="C5" s="6"/>
    </row>
    <row r="6" spans="1:3">
      <c r="A6" s="6" t="s">
        <v>321</v>
      </c>
      <c r="B6" s="7">
        <v>4500</v>
      </c>
      <c r="C6" s="6"/>
    </row>
    <row r="7" spans="1:3">
      <c r="A7" s="6" t="s">
        <v>322</v>
      </c>
      <c r="B7" s="7"/>
      <c r="C7" s="6"/>
    </row>
    <row r="8" spans="1:3">
      <c r="A8" s="6" t="s">
        <v>323</v>
      </c>
      <c r="B8" s="8">
        <v>17000</v>
      </c>
      <c r="C8" s="6"/>
    </row>
    <row r="9" spans="1:3">
      <c r="A9" s="6" t="s">
        <v>324</v>
      </c>
      <c r="B9" s="9">
        <v>5000</v>
      </c>
      <c r="C9" s="6"/>
    </row>
    <row r="10" spans="1:3">
      <c r="A10" s="6" t="s">
        <v>325</v>
      </c>
      <c r="B10" s="9">
        <v>1600</v>
      </c>
      <c r="C10" s="6"/>
    </row>
    <row r="11" spans="1:3">
      <c r="A11" s="6" t="s">
        <v>326</v>
      </c>
      <c r="B11" s="9">
        <v>37000</v>
      </c>
      <c r="C11" s="6"/>
    </row>
    <row r="12" spans="1:3">
      <c r="A12" s="6" t="s">
        <v>327</v>
      </c>
      <c r="B12" s="9">
        <v>4200</v>
      </c>
      <c r="C12" s="6"/>
    </row>
    <row r="13" spans="1:3">
      <c r="A13" s="6" t="s">
        <v>328</v>
      </c>
      <c r="B13" s="9">
        <v>2000</v>
      </c>
      <c r="C13" s="6"/>
    </row>
    <row r="14" spans="1:3">
      <c r="A14" s="6" t="s">
        <v>329</v>
      </c>
      <c r="B14" s="10">
        <v>6000</v>
      </c>
      <c r="C14" s="6"/>
    </row>
    <row r="15" spans="1:3">
      <c r="A15" s="6" t="s">
        <v>330</v>
      </c>
      <c r="B15" s="9">
        <v>7000</v>
      </c>
      <c r="C15" s="6"/>
    </row>
    <row r="16" spans="1:3">
      <c r="A16" s="6" t="s">
        <v>331</v>
      </c>
      <c r="B16" s="9">
        <v>18000</v>
      </c>
      <c r="C16" s="6"/>
    </row>
    <row r="17" spans="1:3">
      <c r="A17" s="6" t="s">
        <v>332</v>
      </c>
      <c r="B17" s="9">
        <v>38000</v>
      </c>
      <c r="C17" s="6"/>
    </row>
    <row r="18" spans="1:3">
      <c r="A18" s="6" t="s">
        <v>333</v>
      </c>
      <c r="B18" s="9">
        <v>21500</v>
      </c>
      <c r="C18" s="6"/>
    </row>
    <row r="19" spans="1:3">
      <c r="A19" s="6" t="s">
        <v>334</v>
      </c>
      <c r="B19" s="11">
        <v>20000</v>
      </c>
      <c r="C19" s="6"/>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15"/>
  <sheetViews>
    <sheetView workbookViewId="0">
      <selection activeCell="D17" sqref="D17"/>
    </sheetView>
  </sheetViews>
  <sheetFormatPr defaultColWidth="8.85546875" defaultRowHeight="15"/>
  <sheetData>
    <row r="1" spans="1:10">
      <c r="A1" s="1" t="s">
        <v>335</v>
      </c>
    </row>
    <row r="2" spans="1:10">
      <c r="A2" s="1" t="s">
        <v>336</v>
      </c>
      <c r="J2" s="2" t="s">
        <v>337</v>
      </c>
    </row>
    <row r="3" spans="1:10">
      <c r="A3" s="1" t="s">
        <v>338</v>
      </c>
    </row>
    <row r="4" spans="1:10">
      <c r="A4" t="s">
        <v>339</v>
      </c>
      <c r="J4" t="s">
        <v>340</v>
      </c>
    </row>
    <row r="5" spans="1:10">
      <c r="A5" s="1" t="s">
        <v>341</v>
      </c>
      <c r="J5" t="s">
        <v>342</v>
      </c>
    </row>
    <row r="6" spans="1:10">
      <c r="A6" t="s">
        <v>343</v>
      </c>
    </row>
    <row r="7" spans="1:10">
      <c r="A7" t="s">
        <v>344</v>
      </c>
      <c r="J7" t="s">
        <v>345</v>
      </c>
    </row>
    <row r="8" spans="1:10">
      <c r="A8" s="1" t="s">
        <v>346</v>
      </c>
      <c r="J8" t="s">
        <v>347</v>
      </c>
    </row>
    <row r="9" spans="1:10">
      <c r="A9" s="1" t="s">
        <v>348</v>
      </c>
    </row>
    <row r="10" spans="1:10">
      <c r="J10" t="s">
        <v>349</v>
      </c>
    </row>
    <row r="11" spans="1:10">
      <c r="A11" s="1" t="s">
        <v>350</v>
      </c>
    </row>
    <row r="12" spans="1:10">
      <c r="J12" t="s">
        <v>351</v>
      </c>
    </row>
    <row r="15" spans="1:10">
      <c r="J15" s="3" t="s">
        <v>352</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ColWidth="8.85546875" defaultRowHeight="15"/>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13</vt:i4>
      </vt:variant>
    </vt:vector>
  </HeadingPairs>
  <TitlesOfParts>
    <vt:vector size="13" baseType="lpstr">
      <vt:lpstr>FATURAMENTO</vt:lpstr>
      <vt:lpstr>LEADS</vt:lpstr>
      <vt:lpstr>DIMINUIÇÃO DE DESPESAS</vt:lpstr>
      <vt:lpstr>ESCRITORIO</vt:lpstr>
      <vt:lpstr>VEDD</vt:lpstr>
      <vt:lpstr>ESTOQUE DE GADO</vt:lpstr>
      <vt:lpstr>LOCAÇÃO</vt:lpstr>
      <vt:lpstr>PrOBLEMAS ANTIGOS</vt:lpstr>
      <vt:lpstr>IMOVEIS</vt:lpstr>
      <vt:lpstr>PERDIDOS </vt:lpstr>
      <vt:lpstr>EMPRESTIMOS SANTANDER</vt:lpstr>
      <vt:lpstr>Pendências</vt:lpstr>
      <vt:lpstr>Planilha13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Vanderlei Andrietta</dc:creator>
  <cp:lastModifiedBy>Lucca Valentin Santana</cp:lastModifiedBy>
  <dcterms:created xsi:type="dcterms:W3CDTF">2025-08-19T21:56:00Z</dcterms:created>
  <dcterms:modified xsi:type="dcterms:W3CDTF">2025-11-13T03:22:10Z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02B6B8610ACA403E80B989868C997C0F_12</vt:lpwstr>
  </property>
  <property fmtid="{D5CDD505-2E9C-101B-9397-08002B2CF9AE}" pid="3" name="KSOProductBuildVer">
    <vt:lpwstr>1046-12.2.0.23155</vt:lpwstr>
  </property>
</Properties>
</file>